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pulation_Density" sheetId="1" r:id="rId4"/>
    <sheet state="visible" name="VERIFIED COSTS FROM MDHILLA 2 E" sheetId="2" r:id="rId5"/>
    <sheet state="visible" name="VERIFIED TECHNICAL SPECIFICATIO" sheetId="3" r:id="rId6"/>
    <sheet state="hidden" name="Sheet8" sheetId="4" r:id="rId7"/>
    <sheet state="visible" name="GABES PRODUCTION CAPACITY" sheetId="5" r:id="rId8"/>
    <sheet state="visible" name="WATER SUPPLY &amp; MANAGEMENT" sheetId="6" r:id="rId9"/>
    <sheet state="visible" name="SITE PARAMETERS" sheetId="7" r:id="rId10"/>
    <sheet state="visible" name="COSTS" sheetId="8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2">
      <text>
        <t xml:space="preserve">M’Dhilla 2 Environmental Impact Assessment (2010).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GCT official website (Gabès complex technical sheets)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GCT audit reports + GCT desalination project description.
</t>
      </text>
    </comment>
    <comment authorId="0" ref="B11">
      <text>
        <t xml:space="preserve">Source:  GCT audit reports + M'dhilla 2 EIA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Composite performance-based index derived from compliance status, waste management, emissions control, and water stress (audit-aligned).
</t>
      </text>
    </comment>
  </commentList>
</comments>
</file>

<file path=xl/sharedStrings.xml><?xml version="1.0" encoding="utf-8"?>
<sst xmlns="http://schemas.openxmlformats.org/spreadsheetml/2006/main" count="606" uniqueCount="413">
  <si>
    <t>Name</t>
  </si>
  <si>
    <t>Status</t>
  </si>
  <si>
    <t>Native</t>
  </si>
  <si>
    <t>Population
Census
2004-04-28</t>
  </si>
  <si>
    <t>Population
Census
2014-04-23</t>
  </si>
  <si>
    <t>Population
Census
2024-11-06</t>
  </si>
  <si>
    <t>Kef</t>
  </si>
  <si>
    <t>Municipality</t>
  </si>
  <si>
    <t>منزل سالم</t>
  </si>
  <si>
    <t>Monastir</t>
  </si>
  <si>
    <t>عميرة الفحول</t>
  </si>
  <si>
    <t>Site</t>
  </si>
  <si>
    <t>Pi</t>
  </si>
  <si>
    <t>Ci</t>
  </si>
  <si>
    <t>di</t>
  </si>
  <si>
    <t>Wi</t>
  </si>
  <si>
    <t>Ei</t>
  </si>
  <si>
    <t>TCi</t>
  </si>
  <si>
    <t>Gabès</t>
  </si>
  <si>
    <t>مطماطة</t>
  </si>
  <si>
    <t>Sidi Boubaker</t>
  </si>
  <si>
    <t>Nabeul</t>
  </si>
  <si>
    <t>أزمور</t>
  </si>
  <si>
    <t>Boughrara</t>
  </si>
  <si>
    <t>Kébili</t>
  </si>
  <si>
    <t>رجيم معتوق</t>
  </si>
  <si>
    <t>Tunis</t>
  </si>
  <si>
    <t>سيدي بوسعيد</t>
  </si>
  <si>
    <t>Batten Ghazal</t>
  </si>
  <si>
    <t>Jendouba</t>
  </si>
  <si>
    <t>بني مطير</t>
  </si>
  <si>
    <t>Bouaguereb</t>
  </si>
  <si>
    <t>Gafsa</t>
  </si>
  <si>
    <t>سيدي بوبكر</t>
  </si>
  <si>
    <t>Rjim Maatoug</t>
  </si>
  <si>
    <t>Tataouine</t>
  </si>
  <si>
    <t>ذهيبة</t>
  </si>
  <si>
    <t>𝑇𝐶𝑖 = 𝐶𝑖 + 𝛼 × 𝑄 × (𝑜𝑖 + 𝜏 × 𝑑𝑖 )</t>
  </si>
  <si>
    <t>Tozeur</t>
  </si>
  <si>
    <t>حزوة</t>
  </si>
  <si>
    <t>Kairouan</t>
  </si>
  <si>
    <t>عين جلولة</t>
  </si>
  <si>
    <t>Siliana</t>
  </si>
  <si>
    <t>الحبابسة</t>
  </si>
  <si>
    <t>Médenine</t>
  </si>
  <si>
    <t>بوغرارة</t>
  </si>
  <si>
    <t>Béja</t>
  </si>
  <si>
    <t>السلوقية</t>
  </si>
  <si>
    <t>Kasserine</t>
  </si>
  <si>
    <t>حيدرة</t>
  </si>
  <si>
    <t>Sousse</t>
  </si>
  <si>
    <t>أكودة</t>
  </si>
  <si>
    <t>Sidi Bouzid</t>
  </si>
  <si>
    <t>باطن الغزال</t>
  </si>
  <si>
    <t>Bizerte</t>
  </si>
  <si>
    <t>غار الملح</t>
  </si>
  <si>
    <t>Zaghouan</t>
  </si>
  <si>
    <t>جبل الوسط</t>
  </si>
  <si>
    <t>Mahdia</t>
  </si>
  <si>
    <t>رجيش</t>
  </si>
  <si>
    <t>Manouba</t>
  </si>
  <si>
    <t>البساتين</t>
  </si>
  <si>
    <t>Sfax</t>
  </si>
  <si>
    <t>عقارب</t>
  </si>
  <si>
    <t>Ben Arous</t>
  </si>
  <si>
    <t>الخليدية</t>
  </si>
  <si>
    <t>Ariana</t>
  </si>
  <si>
    <t>سيدي ثابت</t>
  </si>
  <si>
    <t>Tunisie [Tunisia]</t>
  </si>
  <si>
    <t>Republic</t>
  </si>
  <si>
    <t>تونس</t>
  </si>
  <si>
    <t>Category</t>
  </si>
  <si>
    <t>Subcategory</t>
  </si>
  <si>
    <t>Cost_TND</t>
  </si>
  <si>
    <t>Year</t>
  </si>
  <si>
    <t>Source_Page</t>
  </si>
  <si>
    <t>Notes</t>
  </si>
  <si>
    <t>Air Pollution Control</t>
  </si>
  <si>
    <t>Flash cooler system</t>
  </si>
  <si>
    <t>M'Dhilla 2 EIA p.148</t>
  </si>
  <si>
    <t>Reduces emissions</t>
  </si>
  <si>
    <t>Double absorption system (H2SO4)</t>
  </si>
  <si>
    <t>SO2 emission control</t>
  </si>
  <si>
    <t>Energy recovery system</t>
  </si>
  <si>
    <t>Heat recovery</t>
  </si>
  <si>
    <t>Final gas washing system</t>
  </si>
  <si>
    <t>Startup/degassing</t>
  </si>
  <si>
    <t>Water Treatment</t>
  </si>
  <si>
    <t>Industrial water collection circuit</t>
  </si>
  <si>
    <t>Recycling system</t>
  </si>
  <si>
    <t>Fluorine recovery system</t>
  </si>
  <si>
    <t>H3PO4 concentration</t>
  </si>
  <si>
    <t>Wastewater treatment plant (STEP)</t>
  </si>
  <si>
    <t>Sanitary water + reuse</t>
  </si>
  <si>
    <t>Waste Management</t>
  </si>
  <si>
    <t>Phosphogypsum storage (geomembrane)</t>
  </si>
  <si>
    <t>35 hectares with lining</t>
  </si>
  <si>
    <t>Hazardous waste storage facility</t>
  </si>
  <si>
    <t>Batteries</t>
  </si>
  <si>
    <t>General waste management</t>
  </si>
  <si>
    <t>Municipal waste</t>
  </si>
  <si>
    <t>Packaging waste (baler + recycling)</t>
  </si>
  <si>
    <t>Selective collection</t>
  </si>
  <si>
    <t>Safety &amp; Noise</t>
  </si>
  <si>
    <t>Noise control equipment</t>
  </si>
  <si>
    <t>M'Dhilla 2 EIA p.149</t>
  </si>
  <si>
    <t>PPE + signage</t>
  </si>
  <si>
    <t>Decommissioning</t>
  </si>
  <si>
    <t>Plant closure plan</t>
  </si>
  <si>
    <t>Future decommissioning</t>
  </si>
  <si>
    <t>SUBTOTAL</t>
  </si>
  <si>
    <t>Mitigation Measures</t>
  </si>
  <si>
    <t>M'Dhilla 2 EIA Table 34 p.149</t>
  </si>
  <si>
    <t>Environmental measures only</t>
  </si>
  <si>
    <t>Monitoring (Annual)</t>
  </si>
  <si>
    <t>Air quality (PM10)</t>
  </si>
  <si>
    <t>M'Dhilla 2 EIA Table 35 p.151</t>
  </si>
  <si>
    <t>Monthly sampling</t>
  </si>
  <si>
    <t>Fluoride monitoring (online)</t>
  </si>
  <si>
    <t>M'Dhilla 2 EIA p.151</t>
  </si>
  <si>
    <t>Continuous analyzer</t>
  </si>
  <si>
    <t>SO2 monitoring (online)</t>
  </si>
  <si>
    <t>Noise monitoring</t>
  </si>
  <si>
    <t>Quarterly measurements</t>
  </si>
  <si>
    <t>Hazardous waste tracking</t>
  </si>
  <si>
    <t>M'Dhilla 2 EIA p.152</t>
  </si>
  <si>
    <t>Monthly reporting</t>
  </si>
  <si>
    <t>Water quality analysis</t>
  </si>
  <si>
    <t>STEP + desalination</t>
  </si>
  <si>
    <t>Annual Monitoring</t>
  </si>
  <si>
    <t>M'Dhilla 2 EIA Table 35</t>
  </si>
  <si>
    <t>Annual operating cost</t>
  </si>
  <si>
    <t>Capacity Building</t>
  </si>
  <si>
    <t>Environmental management training</t>
  </si>
  <si>
    <t>M'Dhilla 2 EIA Table 36 p.153</t>
  </si>
  <si>
    <t>2 technical staff</t>
  </si>
  <si>
    <t>Technical operations training</t>
  </si>
  <si>
    <t>M'Dhilla 2 EIA p.153</t>
  </si>
  <si>
    <t>3 technical staff</t>
  </si>
  <si>
    <t>External technical assistance</t>
  </si>
  <si>
    <t>2 experts</t>
  </si>
  <si>
    <t>Training</t>
  </si>
  <si>
    <t>M'Dhilla 2 EIA Table 36</t>
  </si>
  <si>
    <t>One-time cost</t>
  </si>
  <si>
    <t>TOTAL</t>
  </si>
  <si>
    <t>Environmental Management Plan</t>
  </si>
  <si>
    <t>M'Dhilla 2 EIA Table 37 p.154</t>
  </si>
  <si>
    <t>Complete environmental plan</t>
  </si>
  <si>
    <t xml:space="preserve">Environmental Plan = 10~15% of Total cost </t>
  </si>
  <si>
    <t>Measure</t>
  </si>
  <si>
    <t>Cost (TND)</t>
  </si>
  <si>
    <t>Source</t>
  </si>
  <si>
    <t>Air pollution</t>
  </si>
  <si>
    <t>Double absorption (H₂SO₄)</t>
  </si>
  <si>
    <t>EIA</t>
  </si>
  <si>
    <t>Energy recovery</t>
  </si>
  <si>
    <t>Gas washing</t>
  </si>
  <si>
    <t>Water treatment</t>
  </si>
  <si>
    <t>Fluorine recovery</t>
  </si>
  <si>
    <t>Waste</t>
  </si>
  <si>
    <t>Phosphogypsum storage (35 ha)</t>
  </si>
  <si>
    <t>Hazardous waste facility</t>
  </si>
  <si>
    <t>Subtotal mitigation</t>
  </si>
  <si>
    <t>Monitoring (annual)</t>
  </si>
  <si>
    <t>All media</t>
  </si>
  <si>
    <t>Environmental + technical</t>
  </si>
  <si>
    <t>Parameter</t>
  </si>
  <si>
    <t>Value</t>
  </si>
  <si>
    <t>Unit</t>
  </si>
  <si>
    <t>H2SO4 production capacity</t>
  </si>
  <si>
    <t>tons/day</t>
  </si>
  <si>
    <t>M'Dhilla 2 EIA p.155</t>
  </si>
  <si>
    <t>100% concentration</t>
  </si>
  <si>
    <t>P2O5 dilute production</t>
  </si>
  <si>
    <t>25% P2O5</t>
  </si>
  <si>
    <t>P2O5 concentrated production</t>
  </si>
  <si>
    <t>54% P2O5 (3 loops)</t>
  </si>
  <si>
    <t>TSP target production min</t>
  </si>
  <si>
    <t>tons/year</t>
  </si>
  <si>
    <t>Triple superphosphate</t>
  </si>
  <si>
    <t>TSP target production max</t>
  </si>
  <si>
    <t>Phosphogypsum storage area</t>
  </si>
  <si>
    <t>hectares</t>
  </si>
  <si>
    <t>M'Dhilla 2 EIA p.156</t>
  </si>
  <si>
    <t>For M'Dhilla 1 + 2</t>
  </si>
  <si>
    <t>Distance from Gafsa city</t>
  </si>
  <si>
    <t>km</t>
  </si>
  <si>
    <t>Road distance</t>
  </si>
  <si>
    <t>Distance from M'Dhilla town</t>
  </si>
  <si>
    <t>Annual P2O5 production</t>
  </si>
  <si>
    <t>Calculated: 600×365</t>
  </si>
  <si>
    <t>Dilute basis</t>
  </si>
  <si>
    <t>Water requirement</t>
  </si>
  <si>
    <t>m3/ton</t>
  </si>
  <si>
    <t>Industry standard confirmed</t>
  </si>
  <si>
    <t>Site_ID</t>
  </si>
  <si>
    <t>Site_Name</t>
  </si>
  <si>
    <t>P_i_persons</t>
  </si>
  <si>
    <t>C_i_M_TND</t>
  </si>
  <si>
    <t>o_i_TND_per_ton</t>
  </si>
  <si>
    <t>d_i_km</t>
  </si>
  <si>
    <t>W_i_Mm3_per_year</t>
  </si>
  <si>
    <t>S1</t>
  </si>
  <si>
    <t>Gabès (Current)</t>
  </si>
  <si>
    <t>S2</t>
  </si>
  <si>
    <t>Metlaoui (Near-Mines)</t>
  </si>
  <si>
    <t>S3</t>
  </si>
  <si>
    <t>Sfax (Alt-Coastal)</t>
  </si>
  <si>
    <t>S4</t>
  </si>
  <si>
    <t>Sidi Bouzid (Mid-Inland)</t>
  </si>
  <si>
    <t>S5</t>
  </si>
  <si>
    <t>Zarzis (Remote-Coast)</t>
  </si>
  <si>
    <t>Symbol</t>
  </si>
  <si>
    <t>Annual production</t>
  </si>
  <si>
    <t>Q</t>
  </si>
  <si>
    <t>GCT historical capacity</t>
  </si>
  <si>
    <t>Full Gabès relocation scale</t>
  </si>
  <si>
    <t>Transport cost</t>
  </si>
  <si>
    <t>tau</t>
  </si>
  <si>
    <t>TND/ton-km</t>
  </si>
  <si>
    <t>Tunisia freight benchmarks</t>
  </si>
  <si>
    <t>Bulk materials</t>
  </si>
  <si>
    <t>Present value factor</t>
  </si>
  <si>
    <t>alpha</t>
  </si>
  <si>
    <t>years</t>
  </si>
  <si>
    <t>Simplified NPV at 7% discount</t>
  </si>
  <si>
    <t>20-year horizon</t>
  </si>
  <si>
    <t>Budget constraint</t>
  </si>
  <si>
    <t>B</t>
  </si>
  <si>
    <t>million TND</t>
  </si>
  <si>
    <t>Indicative project budget</t>
  </si>
  <si>
    <t>~$240M USD</t>
  </si>
  <si>
    <t>W_req</t>
  </si>
  <si>
    <t>million m3/year</t>
  </si>
  <si>
    <t>4 m3/ton × 500k tons</t>
  </si>
  <si>
    <t>Industry standard</t>
  </si>
  <si>
    <t>Environmental threshold</t>
  </si>
  <si>
    <t>E_min</t>
  </si>
  <si>
    <t>dimensionless</t>
  </si>
  <si>
    <t>Regulatory minimum</t>
  </si>
  <si>
    <t>Tunisia Env. Law 1992</t>
  </si>
  <si>
    <t>Safety weight</t>
  </si>
  <si>
    <t>w1</t>
  </si>
  <si>
    <t>Constitutional priority</t>
  </si>
  <si>
    <t>Base case</t>
  </si>
  <si>
    <t>Water weight</t>
  </si>
  <si>
    <t>w2</t>
  </si>
  <si>
    <t>Technical constraint</t>
  </si>
  <si>
    <t>Cost weight</t>
  </si>
  <si>
    <t>w3</t>
  </si>
  <si>
    <t>Economic efficiency</t>
  </si>
  <si>
    <t>Environment weight</t>
  </si>
  <si>
    <t>w4</t>
  </si>
  <si>
    <t>Satisficing criterion</t>
  </si>
  <si>
    <t>Product</t>
  </si>
  <si>
    <t>Capacity</t>
  </si>
  <si>
    <t>Unit (Measure)</t>
  </si>
  <si>
    <t>Phosphoric Acid Plant</t>
  </si>
  <si>
    <t>Acid phosphorique (28% P₂O₅)</t>
  </si>
  <si>
    <t>t P₂O₅/day</t>
  </si>
  <si>
    <t>GCT website</t>
  </si>
  <si>
    <t>Line 1</t>
  </si>
  <si>
    <t>Line 2</t>
  </si>
  <si>
    <t>Line 3</t>
  </si>
  <si>
    <t>Merchant Grade Acid (54% P₂O₅)</t>
  </si>
  <si>
    <t>t/year</t>
  </si>
  <si>
    <t>~2010</t>
  </si>
  <si>
    <t>GCT + Audit</t>
  </si>
  <si>
    <t>Concentrated MGA</t>
  </si>
  <si>
    <t>Sulfuric Acid Units</t>
  </si>
  <si>
    <t>H₂SO₄</t>
  </si>
  <si>
    <t>t/day</t>
  </si>
  <si>
    <t>4 units combined</t>
  </si>
  <si>
    <t>DAP-A</t>
  </si>
  <si>
    <t>DAP (18-46)</t>
  </si>
  <si>
    <t>Upgraded from 1,000</t>
  </si>
  <si>
    <t>DAP</t>
  </si>
  <si>
    <t>DAP-B</t>
  </si>
  <si>
    <t>Upgraded from 1,200</t>
  </si>
  <si>
    <t>Ammonitrate</t>
  </si>
  <si>
    <t>AN</t>
  </si>
  <si>
    <t>Local market</t>
  </si>
  <si>
    <t>Porous AN</t>
  </si>
  <si>
    <t>Explosives-grade</t>
  </si>
  <si>
    <t>Q = 500,000 t/year as a conservative relocation scale.</t>
  </si>
  <si>
    <t>Water Source</t>
  </si>
  <si>
    <t>Use</t>
  </si>
  <si>
    <t>Seawater intake (cooling)</t>
  </si>
  <si>
    <t>~450,000</t>
  </si>
  <si>
    <t>m³/day</t>
  </si>
  <si>
    <t>Audit</t>
  </si>
  <si>
    <t>DAP cooling</t>
  </si>
  <si>
    <t>Groundwater (forages)</t>
  </si>
  <si>
    <t>520 × 2</t>
  </si>
  <si>
    <t>m³/h</t>
  </si>
  <si>
    <t>Process water</t>
  </si>
  <si>
    <t>SONEDE (network)</t>
  </si>
  <si>
    <t>Industrial water</t>
  </si>
  <si>
    <t>Desalination (planned)</t>
  </si>
  <si>
    <t>2009–2020</t>
  </si>
  <si>
    <t>GCT plan</t>
  </si>
  <si>
    <t>Substitution of forages</t>
  </si>
  <si>
    <t>Desalination (future)</t>
  </si>
  <si>
    <t>Planned</t>
  </si>
  <si>
    <t>Expansion</t>
  </si>
  <si>
    <t>Water intensity</t>
  </si>
  <si>
    <t>m³/ton product</t>
  </si>
  <si>
    <t>W^(req)=4×Q</t>
  </si>
  <si>
    <t>Location</t>
  </si>
  <si>
    <t>Pᵢ (persons)</t>
  </si>
  <si>
    <t>Cᵢ (M TND)</t>
  </si>
  <si>
    <t>oᵢ (TND/t)</t>
  </si>
  <si>
    <t>dᵢ (km)</t>
  </si>
  <si>
    <t>Wᵢ (Mm³/yr)</t>
  </si>
  <si>
    <t>Eᵢ</t>
  </si>
  <si>
    <t>GCT Gabès audit + INS census</t>
  </si>
  <si>
    <t>2014–2020</t>
  </si>
  <si>
    <t>Existing facility, high pollution baseline</t>
  </si>
  <si>
    <t>Metlaoui / M'Dhilla</t>
  </si>
  <si>
    <t>M'Dhilla 2 EIA</t>
  </si>
  <si>
    <t>Near mines, water constrained</t>
  </si>
  <si>
    <t>SONEDE desalination + INS</t>
  </si>
  <si>
    <t>2018–2020</t>
  </si>
  <si>
    <t>Coastal industrial zone</t>
  </si>
  <si>
    <t>INS + regional water data</t>
  </si>
  <si>
    <t>2014–2019</t>
  </si>
  <si>
    <t>Low population inland</t>
  </si>
  <si>
    <t>Zarzis</t>
  </si>
  <si>
    <t>SONEDE + Medenine planning</t>
  </si>
  <si>
    <t>Remote coast, desalination feasible</t>
  </si>
  <si>
    <r>
      <rPr>
        <rFont val="Arial"/>
        <b/>
        <color rgb="FF4A86E8"/>
      </rPr>
      <t>Observed</t>
    </r>
    <r>
      <rPr>
        <rFont val="Arial"/>
        <color theme="1"/>
      </rPr>
      <t xml:space="preserve">: population, distances                                              </t>
    </r>
    <r>
      <rPr>
        <rFont val="Arial"/>
        <b/>
        <color theme="1"/>
      </rPr>
      <t>Estimated</t>
    </r>
    <r>
      <rPr>
        <rFont val="Arial"/>
        <color theme="1"/>
      </rPr>
      <t>: costs, environmental score</t>
    </r>
  </si>
  <si>
    <t>Facility</t>
  </si>
  <si>
    <t>Gabès APA</t>
  </si>
  <si>
    <t>Phosphoric acid capacity</t>
  </si>
  <si>
    <t>tons/year (54% P2O5)</t>
  </si>
  <si>
    <t>n.d.</t>
  </si>
  <si>
    <t>MGA concentration</t>
  </si>
  <si>
    <t>Gabès Desalination</t>
  </si>
  <si>
    <t>Desalination capacity</t>
  </si>
  <si>
    <t>m3/day</t>
  </si>
  <si>
    <t>GCT project description</t>
  </si>
  <si>
    <t>Expandable to 50000 m3/day</t>
  </si>
  <si>
    <t>Project</t>
  </si>
  <si>
    <t>Type</t>
  </si>
  <si>
    <t>Air</t>
  </si>
  <si>
    <t>Double absorption SO2 system</t>
  </si>
  <si>
    <t>Capital</t>
  </si>
  <si>
    <t>SO2 reduction</t>
  </si>
  <si>
    <t>Water</t>
  </si>
  <si>
    <t>Desalination plant</t>
  </si>
  <si>
    <t>GCT Gabès plan</t>
  </si>
  <si>
    <t>25,000 m3/day</t>
  </si>
  <si>
    <t>Phosphogypsum lined storage</t>
  </si>
  <si>
    <t>35 ha storage</t>
  </si>
  <si>
    <t>Monitoring</t>
  </si>
  <si>
    <t>Air &amp; water monitoring</t>
  </si>
  <si>
    <t>Annual OPEX</t>
  </si>
  <si>
    <t>Operating cost</t>
  </si>
  <si>
    <t>Indicator</t>
  </si>
  <si>
    <t>Definition</t>
  </si>
  <si>
    <t>Normalization</t>
  </si>
  <si>
    <t>Weight</t>
  </si>
  <si>
    <t>Baseline pollution</t>
  </si>
  <si>
    <t>e1</t>
  </si>
  <si>
    <t>Relative pollution load</t>
  </si>
  <si>
    <t>1 - (Pi - Pmin)/(Pmax-Pmin)</t>
  </si>
  <si>
    <t>0,3</t>
  </si>
  <si>
    <t>GCT audit reports</t>
  </si>
  <si>
    <t>Land sensitivity</t>
  </si>
  <si>
    <t>e2</t>
  </si>
  <si>
    <t>Agricultural/ecosystem sensitivity</t>
  </si>
  <si>
    <t>Categorical {0,0.5,1}</t>
  </si>
  <si>
    <t>0,2</t>
  </si>
  <si>
    <t>Land use maps</t>
  </si>
  <si>
    <t>Protected areas</t>
  </si>
  <si>
    <t>e3</t>
  </si>
  <si>
    <t>Distance to protected areas</t>
  </si>
  <si>
    <t>min(d/10,1)</t>
  </si>
  <si>
    <t>Protected area GIS</t>
  </si>
  <si>
    <t>Waste feasibility</t>
  </si>
  <si>
    <t>e4</t>
  </si>
  <si>
    <t>Phosphogypsum handling feasibility</t>
  </si>
  <si>
    <t>Expert score [0,1]</t>
  </si>
  <si>
    <t>0,15</t>
  </si>
  <si>
    <t>EIA waste sections</t>
  </si>
  <si>
    <t>Water stress</t>
  </si>
  <si>
    <t>e5</t>
  </si>
  <si>
    <t>Water availability adequacy</t>
  </si>
  <si>
    <t>min(Wi/Wreq,1)</t>
  </si>
  <si>
    <t>SONEDE + EIA</t>
  </si>
  <si>
    <t>Tunisia_CPI</t>
  </si>
  <si>
    <t>Cumulative_Inflation_from_2010</t>
  </si>
  <si>
    <t>Multiplier</t>
  </si>
  <si>
    <t>Baseline year</t>
  </si>
  <si>
    <t>INS Tunisia http://www.ins.tn/</t>
  </si>
  <si>
    <t>INS Tunisia</t>
  </si>
  <si>
    <t>Estimated based on trend</t>
  </si>
  <si>
    <t>Cost_Component</t>
  </si>
  <si>
    <t>Cost_2010_TND</t>
  </si>
  <si>
    <t>Cost_2024_TND</t>
  </si>
  <si>
    <t>Calculation</t>
  </si>
  <si>
    <t>Environmental mitigation (capital)</t>
  </si>
  <si>
    <t>129975000 × 1.85</t>
  </si>
  <si>
    <t>Major equipment + infrastructure</t>
  </si>
  <si>
    <t>Annual monitoring (operational)</t>
  </si>
  <si>
    <t>123000 × 1.85</t>
  </si>
  <si>
    <t>Ongoing operating expense</t>
  </si>
  <si>
    <t>Training (one-time)</t>
  </si>
  <si>
    <t>100000 × 1.85</t>
  </si>
  <si>
    <t>Initial capacity building</t>
  </si>
  <si>
    <t>TOTAL Plan Package Cost</t>
  </si>
  <si>
    <t>130198000 × 1.85</t>
  </si>
  <si>
    <t>Complete environmental compliance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</si>
</sst>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theme="1"/>
      <name val="Roboto Condensed"/>
    </font>
    <font>
      <b/>
      <color theme="1"/>
      <name val="Roboto Condensed"/>
    </font>
    <font>
      <color theme="1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&quot;Roboto Condensed&quot;"/>
    </font>
    <font/>
    <font>
      <sz val="11.0"/>
      <color rgb="FF000000"/>
      <name val="Calibri"/>
    </font>
    <font>
      <color rgb="FF4A86E8"/>
      <name val="Arial"/>
      <scheme val="minor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CC4125"/>
        <bgColor rgb="FFCC4125"/>
      </patternFill>
    </fill>
    <fill>
      <patternFill patternType="solid">
        <fgColor rgb="FFC9DAF8"/>
        <bgColor rgb="FFC9DAF8"/>
      </patternFill>
    </fill>
    <fill>
      <patternFill patternType="solid">
        <fgColor rgb="FFFFCC33"/>
        <bgColor rgb="FFFFCC33"/>
      </patternFill>
    </fill>
    <fill>
      <patternFill patternType="solid">
        <fgColor theme="0"/>
        <bgColor theme="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3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2" fontId="2" numFmtId="0" xfId="0" applyAlignment="1" applyFill="1" applyFont="1">
      <alignment horizontal="center" readingOrder="0" vertical="bottom"/>
    </xf>
    <xf borderId="0" fillId="3" fontId="3" numFmtId="0" xfId="0" applyAlignment="1" applyFill="1" applyFont="1">
      <alignment readingOrder="0"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3" fontId="3" numFmtId="3" xfId="0" applyAlignment="1" applyFont="1" applyNumberFormat="1">
      <alignment readingOrder="0" shrinkToFit="0" vertical="center" wrapText="0"/>
    </xf>
    <xf borderId="0" fillId="4" fontId="3" numFmtId="0" xfId="0" applyAlignment="1" applyFill="1" applyFont="1">
      <alignment readingOrder="0"/>
    </xf>
    <xf borderId="0" fillId="4" fontId="3" numFmtId="3" xfId="0" applyAlignment="1" applyFont="1" applyNumberFormat="1">
      <alignment readingOrder="0"/>
    </xf>
    <xf borderId="0" fillId="4" fontId="3" numFmtId="4" xfId="0" applyFont="1" applyNumberFormat="1"/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5" fontId="4" numFmtId="0" xfId="0" applyAlignment="1" applyFill="1" applyFont="1">
      <alignment readingOrder="0"/>
    </xf>
    <xf borderId="0" fillId="5" fontId="4" numFmtId="3" xfId="0" applyAlignment="1" applyFont="1" applyNumberFormat="1">
      <alignment readingOrder="0"/>
    </xf>
    <xf borderId="1" fillId="6" fontId="5" numFmtId="0" xfId="0" applyAlignment="1" applyBorder="1" applyFill="1" applyFont="1">
      <alignment horizontal="center" readingOrder="0"/>
    </xf>
    <xf borderId="0" fillId="7" fontId="6" numFmtId="0" xfId="0" applyAlignment="1" applyFill="1" applyFont="1">
      <alignment horizontal="left" readingOrder="0" shrinkToFit="0" vertical="top" wrapText="0"/>
    </xf>
    <xf borderId="0" fillId="7" fontId="6" numFmtId="0" xfId="0" applyAlignment="1" applyFont="1">
      <alignment readingOrder="0" shrinkToFit="0" vertical="top" wrapText="0"/>
    </xf>
    <xf borderId="0" fillId="7" fontId="6" numFmtId="0" xfId="0" applyAlignment="1" applyFont="1">
      <alignment horizontal="right" readingOrder="0" shrinkToFit="0" vertical="top" wrapText="0"/>
    </xf>
    <xf borderId="0" fillId="8" fontId="6" numFmtId="3" xfId="0" applyAlignment="1" applyFill="1" applyFont="1" applyNumberFormat="1">
      <alignment readingOrder="0" shrinkToFit="0" vertical="top" wrapText="0"/>
    </xf>
    <xf borderId="0" fillId="7" fontId="6" numFmtId="3" xfId="0" applyAlignment="1" applyFont="1" applyNumberFormat="1">
      <alignment readingOrder="0" shrinkToFit="0" vertical="top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2" fillId="0" fontId="5" numFmtId="0" xfId="0" applyAlignment="1" applyBorder="1" applyFont="1">
      <alignment horizontal="center" readingOrder="0"/>
    </xf>
    <xf borderId="3" fillId="0" fontId="7" numFmtId="0" xfId="0" applyBorder="1" applyFont="1"/>
    <xf borderId="0" fillId="0" fontId="5" numFmtId="0" xfId="0" applyAlignment="1" applyFont="1">
      <alignment horizontal="center" readingOrder="0" shrinkToFit="0" vertical="center" wrapText="0"/>
    </xf>
    <xf borderId="0" fillId="3" fontId="3" numFmtId="0" xfId="0" applyAlignment="1" applyFont="1">
      <alignment readingOrder="0" shrinkToFit="0" vertical="center" wrapText="0"/>
    </xf>
    <xf borderId="2" fillId="3" fontId="5" numFmtId="0" xfId="0" applyAlignment="1" applyBorder="1" applyFont="1">
      <alignment horizontal="center" readingOrder="0"/>
    </xf>
    <xf borderId="4" fillId="0" fontId="7" numFmtId="0" xfId="0" applyBorder="1" applyFont="1"/>
    <xf borderId="0" fillId="3" fontId="5" numFmtId="0" xfId="0" applyAlignment="1" applyFont="1">
      <alignment horizontal="center" readingOrder="0" shrinkToFit="0" vertical="center" wrapText="0"/>
    </xf>
    <xf borderId="1" fillId="3" fontId="5" numFmtId="0" xfId="0" applyAlignment="1" applyBorder="1" applyFont="1">
      <alignment horizontal="center" readingOrder="0"/>
    </xf>
    <xf borderId="0" fillId="0" fontId="8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9" numFmtId="3" xfId="0" applyAlignment="1" applyFont="1" applyNumberFormat="1">
      <alignment readingOrder="0" shrinkToFit="0" vertical="center" wrapText="0"/>
    </xf>
    <xf borderId="0" fillId="0" fontId="8" numFmtId="3" xfId="0" applyAlignment="1" applyFont="1" applyNumberFormat="1">
      <alignment horizontal="right" readingOrder="0" shrinkToFit="0" vertical="bottom" wrapText="0"/>
    </xf>
    <xf borderId="0" fillId="0" fontId="9" numFmtId="0" xfId="0" applyAlignment="1" applyFont="1">
      <alignment readingOrder="0" shrinkToFit="0" vertical="center" wrapText="0"/>
    </xf>
    <xf borderId="5" fillId="0" fontId="3" numFmtId="0" xfId="0" applyAlignment="1" applyBorder="1" applyFont="1">
      <alignment readingOrder="0" shrinkToFit="0" wrapText="1"/>
    </xf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0" fillId="0" fontId="10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3" numFmtId="0" xfId="0" applyFont="1"/>
    <xf borderId="0" fillId="0" fontId="3" numFmtId="10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6">
    <tableStyle count="4" pivot="0" name="Population_Densi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Population_Density-style 2">
      <tableStyleElement dxfId="1" type="headerRow"/>
      <tableStyleElement dxfId="2" type="firstRowStripe"/>
      <tableStyleElement dxfId="3" type="secondRowStripe"/>
    </tableStyle>
    <tableStyle count="4" pivot="0" name="VERIFIED COSTS FROM MDHILLA 2 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RIFIED COSTS FROM MDHILLA 2 E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RIFIED TECHNICAL SPECIFICAT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8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BES PRODUCTION CAPACI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ATER SUPPLY &amp; MANAGEME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ATER SUPPLY &amp; MANAGEMENT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ITE PARAMET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ITE PARAMETER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ITE PARAMETER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ITE PARAMETERS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S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STS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885825</xdr:colOff>
      <xdr:row>14</xdr:row>
      <xdr:rowOff>180975</xdr:rowOff>
    </xdr:from>
    <xdr:ext cx="6048375" cy="46958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6" displayName="Table1" name="Table1" id="1">
  <tableColumns count="6">
    <tableColumn name="Name" id="1"/>
    <tableColumn name="Status" id="2"/>
    <tableColumn name="Native" id="3"/>
    <tableColumn name="Population_x000a_Census_x000a_2004-04-28" id="4"/>
    <tableColumn name="Population_x000a_Census_x000a_2014-04-23" id="5"/>
    <tableColumn name="Population_x000a_Census_x000a_2024-11-06" id="6"/>
  </tableColumns>
  <tableStyleInfo name="Population_Density-style" showColumnStripes="0" showFirstColumn="1" showLastColumn="1" showRowStripes="1"/>
</table>
</file>

<file path=xl/tables/table2.xml><?xml version="1.0" encoding="utf-8"?>
<table xmlns="http://schemas.openxmlformats.org/spreadsheetml/2006/main" headerRowCount="0" ref="H3:M3" displayName="Table_1" name="Table_1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opulation_Density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1:F27" displayName="Environmental_Management_Plan_Costs" name="Environmental_Management_Plan_Costs" id="3">
  <tableColumns count="6">
    <tableColumn name="Category" id="1"/>
    <tableColumn name="Subcategory" id="2"/>
    <tableColumn name="Cost_TND" id="3"/>
    <tableColumn name="Year" id="4"/>
    <tableColumn name="Source_Page" id="5"/>
    <tableColumn name="Notes" id="6"/>
  </tableColumns>
  <tableStyleInfo name="VERIFIED COSTS FROM MDHILLA 2 E-style" showColumnStripes="0" showFirstColumn="1" showLastColumn="1" showRowStripes="1"/>
</table>
</file>

<file path=xl/tables/table4.xml><?xml version="1.0" encoding="utf-8"?>
<table xmlns="http://schemas.openxmlformats.org/spreadsheetml/2006/main" ref="A32:E41" displayName="MDHILLA_2_EIA" name="MDHILLA_2_EIA" id="4">
  <tableColumns count="5">
    <tableColumn name="Category" id="1"/>
    <tableColumn name="Measure" id="2"/>
    <tableColumn name="Cost (TND)" id="3"/>
    <tableColumn name="Year" id="4"/>
    <tableColumn name="Source" id="5"/>
  </tableColumns>
  <tableStyleInfo name="VERIFIED COSTS FROM MDHILLA 2 E-style 2" showColumnStripes="0" showFirstColumn="1" showLastColumn="1" showRowStripes="1"/>
</table>
</file>

<file path=xl/tables/table5.xml><?xml version="1.0" encoding="utf-8"?>
<table xmlns="http://schemas.openxmlformats.org/spreadsheetml/2006/main" ref="A1:F11" displayName="MDhilla_2_Characteristics" name="MDhilla_2_Characteristics" id="5">
  <tableColumns count="6">
    <tableColumn name="Parameter" id="1"/>
    <tableColumn name="Value" id="2"/>
    <tableColumn name="Unit" id="3"/>
    <tableColumn name="Year" id="4"/>
    <tableColumn name="Source_Page" id="5"/>
    <tableColumn name="Notes" id="6"/>
  </tableColumns>
  <tableStyleInfo name="VERIFIED TECHNICAL SPECIFICATIO-style" showColumnStripes="0" showFirstColumn="1" showLastColumn="1" showRowStripes="1"/>
</table>
</file>

<file path=xl/tables/table6.xml><?xml version="1.0" encoding="utf-8"?>
<table xmlns="http://schemas.openxmlformats.org/spreadsheetml/2006/main" ref="A3:G8" displayName="model_data_input" name="model_data_input" id="6">
  <tableColumns count="7">
    <tableColumn name="Site_ID" id="1"/>
    <tableColumn name="Site_Name" id="2"/>
    <tableColumn name="P_i_persons" id="3"/>
    <tableColumn name="C_i_M_TND" id="4"/>
    <tableColumn name="o_i_TND_per_ton" id="5"/>
    <tableColumn name="d_i_km" id="6"/>
    <tableColumn name="W_i_Mm3_per_year" id="7"/>
  </tableColumns>
  <tableStyleInfo name="Sheet8-style" showColumnStripes="0" showFirstColumn="1" showLastColumn="1" showRowStripes="1"/>
</table>
</file>

<file path=xl/tables/table7.xml><?xml version="1.0" encoding="utf-8"?>
<table xmlns="http://schemas.openxmlformats.org/spreadsheetml/2006/main" ref="A10:F20" displayName="system_parameters" name="system_parameters" id="7">
  <tableColumns count="6">
    <tableColumn name="Parameter" id="1"/>
    <tableColumn name="Symbol" id="2"/>
    <tableColumn name="Value" id="3"/>
    <tableColumn name="Unit" id="4"/>
    <tableColumn name="Source" id="5"/>
    <tableColumn name="Notes" id="6"/>
  </tableColumns>
  <tableStyleInfo name="Sheet8-style 2" showColumnStripes="0" showFirstColumn="1" showLastColumn="1" showRowStripes="1"/>
</table>
</file>

<file path=xl/tables/table8.xml><?xml version="1.0" encoding="utf-8"?>
<table xmlns="http://schemas.openxmlformats.org/spreadsheetml/2006/main" ref="A1:G12" displayName="GABES_TOTAL_PRODUCTION_ESTIMATION" name="GABES_TOTAL_PRODUCTION_ESTIMATION" id="8">
  <tableColumns count="7">
    <tableColumn name="Unit" id="1"/>
    <tableColumn name="Product" id="2"/>
    <tableColumn name="Capacity" id="3"/>
    <tableColumn name="Unit (Measure)" id="4"/>
    <tableColumn name="Year" id="5"/>
    <tableColumn name="Source" id="6"/>
    <tableColumn name="Notes" id="7"/>
  </tableColumns>
  <tableStyleInfo name="GABES PRODUCTION CAPACITY-style" showColumnStripes="0" showFirstColumn="1" showLastColumn="1" showRowStripes="1"/>
</table>
</file>

<file path=xl/tables/table9.xml><?xml version="1.0" encoding="utf-8"?>
<table xmlns="http://schemas.openxmlformats.org/spreadsheetml/2006/main" ref="A1:F6" displayName="GABES_WATER_SUPPLY" name="GABES_WATER_SUPPLY" id="9">
  <tableColumns count="6">
    <tableColumn name="Water Source" id="1"/>
    <tableColumn name="Capacity" id="2"/>
    <tableColumn name="Unit" id="3"/>
    <tableColumn name="Year" id="4"/>
    <tableColumn name="Source" id="5"/>
    <tableColumn name="Use" id="6"/>
  </tableColumns>
  <tableStyleInfo name="WATER SUPPLY &amp; MANAGEMENT-style" showColumnStripes="0" showFirstColumn="1" showLastColumn="1" showRowStripes="1"/>
</table>
</file>

<file path=xl/tables/table10.xml><?xml version="1.0" encoding="utf-8"?>
<table xmlns="http://schemas.openxmlformats.org/spreadsheetml/2006/main" ref="A10:D11" displayName="PROCESS_BENCHMARK_MDHILLA_2_EIA" name="PROCESS_BENCHMARK_MDHILLA_2_EIA" id="10">
  <tableColumns count="4">
    <tableColumn name="Parameter" id="1"/>
    <tableColumn name="Value" id="2"/>
    <tableColumn name="Unit" id="3"/>
    <tableColumn name="Year" id="4"/>
  </tableColumns>
  <tableStyleInfo name="WATER SUPPLY &amp; MANAGEMENT-style 2" showColumnStripes="0" showFirstColumn="1" showLastColumn="1" showRowStripes="1"/>
</table>
</file>

<file path=xl/tables/table11.xml><?xml version="1.0" encoding="utf-8"?>
<table xmlns="http://schemas.openxmlformats.org/spreadsheetml/2006/main" ref="A1:K6" displayName="SITE_SPECIFIC_PARAMETERS" name="SITE_SPECIFIC_PARAMETERS" id="11">
  <tableColumns count="11">
    <tableColumn name="Site" id="1"/>
    <tableColumn name="Location" id="2"/>
    <tableColumn name="Pᵢ (persons)" id="3"/>
    <tableColumn name="Cᵢ (M TND)" id="4"/>
    <tableColumn name="oᵢ (TND/t)" id="5"/>
    <tableColumn name="dᵢ (km)" id="6"/>
    <tableColumn name="Wᵢ (Mm³/yr)" id="7"/>
    <tableColumn name="Eᵢ" id="8"/>
    <tableColumn name="Source" id="9"/>
    <tableColumn name="Year" id="10"/>
    <tableColumn name="Notes" id="11"/>
  </tableColumns>
  <tableStyleInfo name="SITE PARAMETERS-style" showColumnStripes="0" showFirstColumn="1" showLastColumn="1" showRowStripes="1"/>
</table>
</file>

<file path=xl/tables/table12.xml><?xml version="1.0" encoding="utf-8"?>
<table xmlns="http://schemas.openxmlformats.org/spreadsheetml/2006/main" ref="A12:G15" displayName="Table2" name="Table2" id="12">
  <tableColumns count="7">
    <tableColumn name="Facility" id="1"/>
    <tableColumn name="Parameter" id="2"/>
    <tableColumn name="Value" id="3"/>
    <tableColumn name="Unit" id="4"/>
    <tableColumn name="Source" id="5"/>
    <tableColumn name="Year" id="6"/>
    <tableColumn name="Notes" id="7"/>
  </tableColumns>
  <tableStyleInfo name="SITE PARAMETERS-style 2" showColumnStripes="0" showFirstColumn="1" showLastColumn="1" showRowStripes="1"/>
</table>
</file>

<file path=xl/tables/table13.xml><?xml version="1.0" encoding="utf-8"?>
<table xmlns="http://schemas.openxmlformats.org/spreadsheetml/2006/main" ref="A18:G22" displayName="Table3" name="Table3" id="13">
  <tableColumns count="7">
    <tableColumn name="Category" id="1"/>
    <tableColumn name="Project" id="2"/>
    <tableColumn name="Cost_TND" id="3"/>
    <tableColumn name="Type" id="4"/>
    <tableColumn name="Source" id="5"/>
    <tableColumn name="Year" id="6"/>
    <tableColumn name="Notes" id="7"/>
  </tableColumns>
  <tableStyleInfo name="SITE PARAMETERS-style 3" showColumnStripes="0" showFirstColumn="1" showLastColumn="1" showRowStripes="1"/>
</table>
</file>

<file path=xl/tables/table14.xml><?xml version="1.0" encoding="utf-8"?>
<table xmlns="http://schemas.openxmlformats.org/spreadsheetml/2006/main" ref="A25:F30" displayName="Table4" name="Table4" id="14">
  <tableColumns count="6">
    <tableColumn name="Indicator" id="1"/>
    <tableColumn name="Symbol" id="2"/>
    <tableColumn name="Definition" id="3"/>
    <tableColumn name="Normalization" id="4"/>
    <tableColumn name="Weight" id="5"/>
    <tableColumn name="Source" id="6"/>
  </tableColumns>
  <tableStyleInfo name="SITE PARAMETERS-style 4" showColumnStripes="0" showFirstColumn="1" showLastColumn="1" showRowStripes="1"/>
</table>
</file>

<file path=xl/tables/table15.xml><?xml version="1.0" encoding="utf-8"?>
<table xmlns="http://schemas.openxmlformats.org/spreadsheetml/2006/main" ref="A1:E5" displayName="INFLATION_" name="INFLATION_" id="15">
  <tableColumns count="5">
    <tableColumn name="Year" id="1"/>
    <tableColumn name="Tunisia_CPI" id="2"/>
    <tableColumn name="Cumulative_Inflation_from_2010" id="3"/>
    <tableColumn name="Multiplier" id="4"/>
    <tableColumn name="Source" id="5"/>
  </tableColumns>
  <tableStyleInfo name="COSTS-style" showColumnStripes="0" showFirstColumn="1" showLastColumn="1" showRowStripes="1"/>
</table>
</file>

<file path=xl/tables/table16.xml><?xml version="1.0" encoding="utf-8"?>
<table xmlns="http://schemas.openxmlformats.org/spreadsheetml/2006/main" ref="A9:E13" displayName="ADJUSTED_COSTS" name="ADJUSTED_COSTS" id="16">
  <tableColumns count="5">
    <tableColumn name="Cost_Component" id="1"/>
    <tableColumn name="Cost_2010_TND" id="2"/>
    <tableColumn name="Cost_2024_TND" id="3"/>
    <tableColumn name="Calculation" id="4"/>
    <tableColumn name="Notes" id="5"/>
  </tableColumns>
  <tableStyleInfo name="COST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Relationship Id="rId6" Type="http://schemas.openxmlformats.org/officeDocument/2006/relationships/table" Target="../tables/table9.xml"/><Relationship Id="rId7" Type="http://schemas.openxmlformats.org/officeDocument/2006/relationships/table" Target="../tables/table10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Relationship Id="rId11" Type="http://schemas.openxmlformats.org/officeDocument/2006/relationships/table" Target="../tables/table14.xml"/><Relationship Id="rId10" Type="http://schemas.openxmlformats.org/officeDocument/2006/relationships/table" Target="../tables/table13.xml"/><Relationship Id="rId9" Type="http://schemas.openxmlformats.org/officeDocument/2006/relationships/table" Target="../tables/table12.xml"/><Relationship Id="rId8" Type="http://schemas.openxmlformats.org/officeDocument/2006/relationships/table" Target="../tables/table1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15.xml"/><Relationship Id="rId5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88"/>
    <col customWidth="1" min="4" max="6" width="16.7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ht="22.5" customHeight="1">
      <c r="A2" s="3" t="s">
        <v>6</v>
      </c>
      <c r="B2" s="4" t="s">
        <v>7</v>
      </c>
      <c r="C2" s="5" t="s">
        <v>8</v>
      </c>
      <c r="D2" s="6">
        <v>2211.0</v>
      </c>
      <c r="E2" s="6">
        <v>1824.0</v>
      </c>
      <c r="F2" s="6">
        <v>1370.0</v>
      </c>
    </row>
    <row r="3" ht="22.5" customHeight="1">
      <c r="A3" s="3" t="s">
        <v>9</v>
      </c>
      <c r="B3" s="4" t="s">
        <v>7</v>
      </c>
      <c r="C3" s="5" t="s">
        <v>10</v>
      </c>
      <c r="D3" s="6">
        <v>4525.0</v>
      </c>
      <c r="E3" s="6">
        <v>5255.0</v>
      </c>
      <c r="F3" s="6">
        <v>3879.0</v>
      </c>
      <c r="H3" s="7" t="s">
        <v>11</v>
      </c>
      <c r="I3" s="7" t="s">
        <v>12</v>
      </c>
      <c r="J3" s="7" t="s">
        <v>13</v>
      </c>
      <c r="K3" s="8" t="s">
        <v>14</v>
      </c>
      <c r="L3" s="8" t="s">
        <v>15</v>
      </c>
      <c r="M3" s="8" t="s">
        <v>16</v>
      </c>
      <c r="N3" s="9" t="s">
        <v>17</v>
      </c>
    </row>
    <row r="4" ht="22.5" customHeight="1">
      <c r="A4" s="10" t="s">
        <v>18</v>
      </c>
      <c r="B4" s="11" t="s">
        <v>7</v>
      </c>
      <c r="C4" s="12" t="s">
        <v>19</v>
      </c>
      <c r="D4" s="13">
        <v>5766.0</v>
      </c>
      <c r="E4" s="13">
        <v>4444.0</v>
      </c>
      <c r="F4" s="13">
        <v>3926.0</v>
      </c>
      <c r="H4" s="14" t="s">
        <v>20</v>
      </c>
      <c r="I4" s="15">
        <v>1100.0</v>
      </c>
      <c r="J4" s="14">
        <v>428.0</v>
      </c>
      <c r="K4" s="14">
        <v>45.0</v>
      </c>
      <c r="L4" s="14">
        <v>0.75</v>
      </c>
      <c r="M4" s="14">
        <v>5.7</v>
      </c>
      <c r="N4" s="15">
        <v>1003.0</v>
      </c>
      <c r="O4" s="16">
        <f t="shared" ref="O4:O9" si="1">J4+$H$12*$I$12*($J$12+$K$12*K4)/1000000</f>
        <v>1024.25</v>
      </c>
    </row>
    <row r="5" ht="22.5" customHeight="1">
      <c r="A5" s="3" t="s">
        <v>21</v>
      </c>
      <c r="B5" s="4" t="s">
        <v>7</v>
      </c>
      <c r="C5" s="5" t="s">
        <v>22</v>
      </c>
      <c r="D5" s="6">
        <v>7336.0</v>
      </c>
      <c r="E5" s="6">
        <v>7499.0</v>
      </c>
      <c r="F5" s="6">
        <v>4116.0</v>
      </c>
      <c r="H5" s="17" t="s">
        <v>23</v>
      </c>
      <c r="I5" s="17">
        <v>280.0</v>
      </c>
      <c r="J5" s="17">
        <v>518.0</v>
      </c>
      <c r="K5" s="17">
        <v>212.0</v>
      </c>
      <c r="L5" s="17">
        <v>2.88</v>
      </c>
      <c r="M5" s="17">
        <v>8.7</v>
      </c>
      <c r="N5" s="18">
        <v>1288.0</v>
      </c>
      <c r="O5" s="16">
        <f t="shared" si="1"/>
        <v>1239.5</v>
      </c>
    </row>
    <row r="6" ht="22.5" customHeight="1">
      <c r="A6" s="3" t="s">
        <v>24</v>
      </c>
      <c r="B6" s="4" t="s">
        <v>7</v>
      </c>
      <c r="C6" s="5" t="s">
        <v>25</v>
      </c>
      <c r="D6" s="6">
        <v>2889.0</v>
      </c>
      <c r="E6" s="6">
        <v>4237.0</v>
      </c>
      <c r="F6" s="6">
        <v>4649.0</v>
      </c>
      <c r="H6" s="17" t="s">
        <v>18</v>
      </c>
      <c r="I6" s="18">
        <v>8500.0</v>
      </c>
      <c r="J6" s="17">
        <v>0.0</v>
      </c>
      <c r="K6" s="17">
        <v>227.0</v>
      </c>
      <c r="L6" s="17">
        <v>2.88</v>
      </c>
      <c r="M6" s="17">
        <v>2.1</v>
      </c>
      <c r="N6" s="18">
        <v>1100.0</v>
      </c>
      <c r="O6" s="16">
        <f t="shared" si="1"/>
        <v>732.75</v>
      </c>
    </row>
    <row r="7" ht="22.5" customHeight="1">
      <c r="A7" s="3" t="s">
        <v>26</v>
      </c>
      <c r="B7" s="4" t="s">
        <v>7</v>
      </c>
      <c r="C7" s="5" t="s">
        <v>27</v>
      </c>
      <c r="D7" s="6">
        <v>4793.0</v>
      </c>
      <c r="E7" s="6">
        <v>7206.0</v>
      </c>
      <c r="F7" s="6">
        <v>4988.0</v>
      </c>
      <c r="H7" s="17" t="s">
        <v>28</v>
      </c>
      <c r="I7" s="17">
        <v>580.0</v>
      </c>
      <c r="J7" s="17">
        <v>388.0</v>
      </c>
      <c r="K7" s="17">
        <v>78.0</v>
      </c>
      <c r="L7" s="17">
        <v>1.6</v>
      </c>
      <c r="M7" s="17">
        <v>7.6</v>
      </c>
      <c r="N7" s="18">
        <v>1098.0</v>
      </c>
      <c r="O7" s="16">
        <f t="shared" si="1"/>
        <v>1009</v>
      </c>
    </row>
    <row r="8" ht="22.5" customHeight="1">
      <c r="A8" s="3" t="s">
        <v>29</v>
      </c>
      <c r="B8" s="4" t="s">
        <v>7</v>
      </c>
      <c r="C8" s="5" t="s">
        <v>30</v>
      </c>
      <c r="D8" s="6">
        <v>6901.0</v>
      </c>
      <c r="E8" s="6">
        <v>5553.0</v>
      </c>
      <c r="F8" s="6">
        <v>5239.0</v>
      </c>
      <c r="H8" s="17" t="s">
        <v>31</v>
      </c>
      <c r="I8" s="18">
        <v>2600.0</v>
      </c>
      <c r="J8" s="17">
        <v>308.0</v>
      </c>
      <c r="K8" s="17">
        <v>64.0</v>
      </c>
      <c r="L8" s="17">
        <v>2.88</v>
      </c>
      <c r="M8" s="17">
        <v>5.7</v>
      </c>
      <c r="N8" s="18">
        <v>1088.0</v>
      </c>
      <c r="O8" s="16">
        <f t="shared" si="1"/>
        <v>918.5</v>
      </c>
    </row>
    <row r="9" ht="22.5" customHeight="1">
      <c r="A9" s="10" t="s">
        <v>32</v>
      </c>
      <c r="B9" s="11" t="s">
        <v>7</v>
      </c>
      <c r="C9" s="12" t="s">
        <v>33</v>
      </c>
      <c r="D9" s="13">
        <v>4340.0</v>
      </c>
      <c r="E9" s="13">
        <v>4214.0</v>
      </c>
      <c r="F9" s="13">
        <v>5402.0</v>
      </c>
      <c r="H9" s="19" t="s">
        <v>34</v>
      </c>
      <c r="I9" s="19">
        <v>280.0</v>
      </c>
      <c r="J9" s="19">
        <v>578.0</v>
      </c>
      <c r="K9" s="19">
        <v>225.0</v>
      </c>
      <c r="L9" s="19">
        <v>0.75</v>
      </c>
      <c r="M9" s="19">
        <v>7.6</v>
      </c>
      <c r="N9" s="20">
        <v>1428.0</v>
      </c>
      <c r="O9" s="16">
        <f t="shared" si="1"/>
        <v>1309.25</v>
      </c>
    </row>
    <row r="10" ht="22.5" customHeight="1">
      <c r="A10" s="3" t="s">
        <v>35</v>
      </c>
      <c r="B10" s="4" t="s">
        <v>7</v>
      </c>
      <c r="C10" s="5" t="s">
        <v>36</v>
      </c>
      <c r="D10" s="6">
        <v>3971.0</v>
      </c>
      <c r="E10" s="6">
        <v>4295.0</v>
      </c>
      <c r="F10" s="6">
        <v>5920.0</v>
      </c>
      <c r="K10" s="17" t="s">
        <v>37</v>
      </c>
    </row>
    <row r="11" ht="22.5" customHeight="1">
      <c r="A11" s="3" t="s">
        <v>38</v>
      </c>
      <c r="B11" s="4" t="s">
        <v>7</v>
      </c>
      <c r="C11" s="5" t="s">
        <v>39</v>
      </c>
      <c r="D11" s="6">
        <v>4162.0</v>
      </c>
      <c r="E11" s="6">
        <v>4700.0</v>
      </c>
      <c r="F11" s="6">
        <v>6186.0</v>
      </c>
    </row>
    <row r="12" ht="22.5" customHeight="1">
      <c r="A12" s="3" t="s">
        <v>40</v>
      </c>
      <c r="B12" s="4" t="s">
        <v>7</v>
      </c>
      <c r="C12" s="5" t="s">
        <v>41</v>
      </c>
      <c r="D12" s="6">
        <v>7179.0</v>
      </c>
      <c r="E12" s="6">
        <v>6780.0</v>
      </c>
      <c r="F12" s="6">
        <v>6441.0</v>
      </c>
      <c r="H12" s="21">
        <v>7.5</v>
      </c>
      <c r="I12" s="21">
        <v>500000.0</v>
      </c>
      <c r="J12" s="21">
        <v>150.0</v>
      </c>
      <c r="K12" s="21">
        <v>0.2</v>
      </c>
    </row>
    <row r="13" ht="22.5" customHeight="1">
      <c r="A13" s="3" t="s">
        <v>42</v>
      </c>
      <c r="B13" s="4" t="s">
        <v>7</v>
      </c>
      <c r="C13" s="5" t="s">
        <v>43</v>
      </c>
      <c r="D13" s="6">
        <v>9772.0</v>
      </c>
      <c r="E13" s="6">
        <v>7564.0</v>
      </c>
      <c r="F13" s="6">
        <v>6706.0</v>
      </c>
    </row>
    <row r="14" ht="22.5" customHeight="1">
      <c r="A14" s="10" t="s">
        <v>44</v>
      </c>
      <c r="B14" s="11" t="s">
        <v>7</v>
      </c>
      <c r="C14" s="12" t="s">
        <v>45</v>
      </c>
      <c r="D14" s="13">
        <v>6744.0</v>
      </c>
      <c r="E14" s="13">
        <v>6709.0</v>
      </c>
      <c r="F14" s="13">
        <v>7209.0</v>
      </c>
    </row>
    <row r="15" ht="22.5" customHeight="1">
      <c r="A15" s="3" t="s">
        <v>46</v>
      </c>
      <c r="B15" s="4" t="s">
        <v>7</v>
      </c>
      <c r="C15" s="5" t="s">
        <v>47</v>
      </c>
      <c r="D15" s="6">
        <v>6241.0</v>
      </c>
      <c r="E15" s="6">
        <v>7348.0</v>
      </c>
      <c r="F15" s="6">
        <v>8048.0</v>
      </c>
    </row>
    <row r="16" ht="22.5" customHeight="1">
      <c r="A16" s="3" t="s">
        <v>48</v>
      </c>
      <c r="B16" s="4" t="s">
        <v>7</v>
      </c>
      <c r="C16" s="5" t="s">
        <v>49</v>
      </c>
      <c r="D16" s="6">
        <v>8716.0</v>
      </c>
      <c r="E16" s="6">
        <v>9762.0</v>
      </c>
      <c r="F16" s="6">
        <v>8160.0</v>
      </c>
    </row>
    <row r="17" ht="22.5" customHeight="1">
      <c r="A17" s="3" t="s">
        <v>50</v>
      </c>
      <c r="B17" s="4" t="s">
        <v>7</v>
      </c>
      <c r="C17" s="5" t="s">
        <v>51</v>
      </c>
      <c r="D17" s="6">
        <v>21237.0</v>
      </c>
      <c r="E17" s="6">
        <v>27200.0</v>
      </c>
      <c r="F17" s="6">
        <v>8606.0</v>
      </c>
    </row>
    <row r="18" ht="22.5" customHeight="1">
      <c r="A18" s="10" t="s">
        <v>52</v>
      </c>
      <c r="B18" s="11" t="s">
        <v>7</v>
      </c>
      <c r="C18" s="12" t="s">
        <v>53</v>
      </c>
      <c r="D18" s="13">
        <v>14098.0</v>
      </c>
      <c r="E18" s="13">
        <v>15507.0</v>
      </c>
      <c r="F18" s="13">
        <v>8741.0</v>
      </c>
    </row>
    <row r="19" ht="22.5" customHeight="1">
      <c r="A19" s="3" t="s">
        <v>54</v>
      </c>
      <c r="B19" s="4" t="s">
        <v>7</v>
      </c>
      <c r="C19" s="5" t="s">
        <v>55</v>
      </c>
      <c r="D19" s="6">
        <v>8777.0</v>
      </c>
      <c r="E19" s="6">
        <v>9242.0</v>
      </c>
      <c r="F19" s="6">
        <v>10630.0</v>
      </c>
    </row>
    <row r="20" ht="22.5" customHeight="1">
      <c r="A20" s="3" t="s">
        <v>56</v>
      </c>
      <c r="B20" s="4" t="s">
        <v>7</v>
      </c>
      <c r="C20" s="5" t="s">
        <v>57</v>
      </c>
      <c r="D20" s="6">
        <v>8156.0</v>
      </c>
      <c r="E20" s="6">
        <v>9783.0</v>
      </c>
      <c r="F20" s="6">
        <v>10999.0</v>
      </c>
    </row>
    <row r="21" ht="22.5" customHeight="1">
      <c r="A21" s="3" t="s">
        <v>58</v>
      </c>
      <c r="B21" s="4" t="s">
        <v>7</v>
      </c>
      <c r="C21" s="5" t="s">
        <v>59</v>
      </c>
      <c r="D21" s="6">
        <v>8934.0</v>
      </c>
      <c r="E21" s="6">
        <v>10311.0</v>
      </c>
      <c r="F21" s="6">
        <v>11603.0</v>
      </c>
    </row>
    <row r="22" ht="22.5" customHeight="1">
      <c r="A22" s="3" t="s">
        <v>60</v>
      </c>
      <c r="B22" s="4" t="s">
        <v>7</v>
      </c>
      <c r="C22" s="5" t="s">
        <v>61</v>
      </c>
      <c r="D22" s="6">
        <v>12932.0</v>
      </c>
      <c r="E22" s="6">
        <v>13701.0</v>
      </c>
      <c r="F22" s="6">
        <v>13468.0</v>
      </c>
    </row>
    <row r="23" ht="22.5" customHeight="1">
      <c r="A23" s="10" t="s">
        <v>62</v>
      </c>
      <c r="B23" s="11" t="s">
        <v>7</v>
      </c>
      <c r="C23" s="12" t="s">
        <v>63</v>
      </c>
      <c r="D23" s="13">
        <v>35841.0</v>
      </c>
      <c r="E23" s="13">
        <v>40943.0</v>
      </c>
      <c r="F23" s="13">
        <v>15382.0</v>
      </c>
    </row>
    <row r="24" ht="22.5" customHeight="1">
      <c r="A24" s="3" t="s">
        <v>64</v>
      </c>
      <c r="B24" s="4" t="s">
        <v>7</v>
      </c>
      <c r="C24" s="5" t="s">
        <v>65</v>
      </c>
      <c r="D24" s="6">
        <v>16552.0</v>
      </c>
      <c r="E24" s="6">
        <v>19156.0</v>
      </c>
      <c r="F24" s="6">
        <v>22894.0</v>
      </c>
    </row>
    <row r="25" ht="22.5" customHeight="1">
      <c r="A25" s="3" t="s">
        <v>66</v>
      </c>
      <c r="B25" s="4" t="s">
        <v>7</v>
      </c>
      <c r="C25" s="5" t="s">
        <v>67</v>
      </c>
      <c r="D25" s="6">
        <v>19404.0</v>
      </c>
      <c r="E25" s="6">
        <v>24503.0</v>
      </c>
      <c r="F25" s="6">
        <v>29546.0</v>
      </c>
    </row>
    <row r="26" ht="22.5" customHeight="1">
      <c r="A26" s="22" t="s">
        <v>68</v>
      </c>
      <c r="B26" s="23" t="s">
        <v>69</v>
      </c>
      <c r="C26" s="24" t="s">
        <v>70</v>
      </c>
      <c r="D26" s="25">
        <v>9910872.0</v>
      </c>
      <c r="E26" s="25">
        <v>1.0982754E7</v>
      </c>
      <c r="F26" s="26">
        <v>1.1972169E7</v>
      </c>
    </row>
  </sheetData>
  <dataValidations>
    <dataValidation type="list" allowBlank="1" showDropDown="1" showErrorMessage="1" sqref="B2:B26">
      <formula1>"Municipality,Republic"</formula1>
    </dataValidation>
    <dataValidation type="custom" allowBlank="1" showDropDown="1" sqref="D2:F26">
      <formula1>AND(ISNUMBER(D2),(NOT(OR(NOT(ISERROR(DATEVALUE(D2))), AND(ISNUMBER(D2), LEFT(CELL("format", D2))="D")))))</formula1>
    </dataValidation>
  </dataValidations>
  <printOptions gridLines="1" horizontalCentered="1"/>
  <pageMargins bottom="0.75" footer="0.0" header="0.0" left="0.7" right="0.7" top="0.75"/>
  <pageSetup fitToHeight="0" paperSize="11" cellComments="atEnd" orientation="landscape" pageOrder="overThenDown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600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5"/>
    <col customWidth="1" min="2" max="2" width="33.0"/>
    <col customWidth="1" min="3" max="3" width="16.63"/>
    <col customWidth="1" min="5" max="5" width="25.13"/>
    <col customWidth="1" min="6" max="6" width="24.13"/>
  </cols>
  <sheetData>
    <row r="1" ht="22.5" customHeight="1">
      <c r="A1" s="27" t="s">
        <v>71</v>
      </c>
      <c r="B1" s="27" t="s">
        <v>72</v>
      </c>
      <c r="C1" s="27" t="s">
        <v>73</v>
      </c>
      <c r="D1" s="27" t="s">
        <v>74</v>
      </c>
      <c r="E1" s="27" t="s">
        <v>75</v>
      </c>
      <c r="F1" s="27" t="s">
        <v>76</v>
      </c>
    </row>
    <row r="2" ht="22.5" customHeight="1">
      <c r="A2" s="3" t="s">
        <v>77</v>
      </c>
      <c r="B2" s="3" t="s">
        <v>78</v>
      </c>
      <c r="C2" s="28">
        <v>1.0E7</v>
      </c>
      <c r="D2" s="28">
        <v>2010.0</v>
      </c>
      <c r="E2" s="3" t="s">
        <v>79</v>
      </c>
      <c r="F2" s="3" t="s">
        <v>80</v>
      </c>
    </row>
    <row r="3" ht="22.5" customHeight="1">
      <c r="A3" s="3" t="s">
        <v>77</v>
      </c>
      <c r="B3" s="3" t="s">
        <v>81</v>
      </c>
      <c r="C3" s="28">
        <v>4.0E7</v>
      </c>
      <c r="D3" s="28">
        <v>2010.0</v>
      </c>
      <c r="E3" s="3" t="s">
        <v>79</v>
      </c>
      <c r="F3" s="3" t="s">
        <v>82</v>
      </c>
    </row>
    <row r="4" ht="22.5" customHeight="1">
      <c r="A4" s="3" t="s">
        <v>77</v>
      </c>
      <c r="B4" s="3" t="s">
        <v>83</v>
      </c>
      <c r="C4" s="28">
        <v>2.0E7</v>
      </c>
      <c r="D4" s="28">
        <v>2010.0</v>
      </c>
      <c r="E4" s="3" t="s">
        <v>79</v>
      </c>
      <c r="F4" s="3" t="s">
        <v>84</v>
      </c>
    </row>
    <row r="5" ht="22.5" customHeight="1">
      <c r="A5" s="3" t="s">
        <v>77</v>
      </c>
      <c r="B5" s="3" t="s">
        <v>85</v>
      </c>
      <c r="C5" s="28">
        <v>2000000.0</v>
      </c>
      <c r="D5" s="28">
        <v>2010.0</v>
      </c>
      <c r="E5" s="3" t="s">
        <v>79</v>
      </c>
      <c r="F5" s="3" t="s">
        <v>86</v>
      </c>
    </row>
    <row r="6" ht="22.5" customHeight="1">
      <c r="A6" s="3" t="s">
        <v>87</v>
      </c>
      <c r="B6" s="3" t="s">
        <v>88</v>
      </c>
      <c r="C6" s="28">
        <v>110000.0</v>
      </c>
      <c r="D6" s="28">
        <v>2010.0</v>
      </c>
      <c r="E6" s="3" t="s">
        <v>79</v>
      </c>
      <c r="F6" s="3" t="s">
        <v>89</v>
      </c>
    </row>
    <row r="7" ht="22.5" customHeight="1">
      <c r="A7" s="3" t="s">
        <v>87</v>
      </c>
      <c r="B7" s="3" t="s">
        <v>90</v>
      </c>
      <c r="C7" s="28">
        <v>2000000.0</v>
      </c>
      <c r="D7" s="28">
        <v>2010.0</v>
      </c>
      <c r="E7" s="3" t="s">
        <v>79</v>
      </c>
      <c r="F7" s="3" t="s">
        <v>91</v>
      </c>
    </row>
    <row r="8" ht="22.5" customHeight="1">
      <c r="A8" s="3" t="s">
        <v>87</v>
      </c>
      <c r="B8" s="3" t="s">
        <v>92</v>
      </c>
      <c r="C8" s="28">
        <v>650000.0</v>
      </c>
      <c r="D8" s="28">
        <v>2010.0</v>
      </c>
      <c r="E8" s="3" t="s">
        <v>79</v>
      </c>
      <c r="F8" s="3" t="s">
        <v>93</v>
      </c>
    </row>
    <row r="9" ht="22.5" customHeight="1">
      <c r="A9" s="3" t="s">
        <v>94</v>
      </c>
      <c r="B9" s="3" t="s">
        <v>95</v>
      </c>
      <c r="C9" s="28">
        <v>5.5E7</v>
      </c>
      <c r="D9" s="28">
        <v>2010.0</v>
      </c>
      <c r="E9" s="3" t="s">
        <v>79</v>
      </c>
      <c r="F9" s="3" t="s">
        <v>96</v>
      </c>
    </row>
    <row r="10" ht="22.5" customHeight="1">
      <c r="A10" s="3" t="s">
        <v>94</v>
      </c>
      <c r="B10" s="3" t="s">
        <v>97</v>
      </c>
      <c r="C10" s="28">
        <v>30000.0</v>
      </c>
      <c r="D10" s="28">
        <v>2010.0</v>
      </c>
      <c r="E10" s="3" t="s">
        <v>79</v>
      </c>
      <c r="F10" s="3" t="s">
        <v>98</v>
      </c>
    </row>
    <row r="11" ht="22.5" customHeight="1">
      <c r="A11" s="3" t="s">
        <v>94</v>
      </c>
      <c r="B11" s="3" t="s">
        <v>99</v>
      </c>
      <c r="C11" s="28">
        <v>10000.0</v>
      </c>
      <c r="D11" s="28">
        <v>2010.0</v>
      </c>
      <c r="E11" s="3" t="s">
        <v>79</v>
      </c>
      <c r="F11" s="3" t="s">
        <v>100</v>
      </c>
    </row>
    <row r="12" ht="22.5" customHeight="1">
      <c r="A12" s="3" t="s">
        <v>94</v>
      </c>
      <c r="B12" s="3" t="s">
        <v>101</v>
      </c>
      <c r="C12" s="28">
        <v>20000.0</v>
      </c>
      <c r="D12" s="28">
        <v>2010.0</v>
      </c>
      <c r="E12" s="3" t="s">
        <v>79</v>
      </c>
      <c r="F12" s="3" t="s">
        <v>102</v>
      </c>
    </row>
    <row r="13" ht="22.5" customHeight="1">
      <c r="A13" s="3" t="s">
        <v>103</v>
      </c>
      <c r="B13" s="3" t="s">
        <v>104</v>
      </c>
      <c r="C13" s="28">
        <v>10000.0</v>
      </c>
      <c r="D13" s="28">
        <v>2010.0</v>
      </c>
      <c r="E13" s="3" t="s">
        <v>105</v>
      </c>
      <c r="F13" s="3" t="s">
        <v>106</v>
      </c>
    </row>
    <row r="14" ht="22.5" customHeight="1">
      <c r="A14" s="3" t="s">
        <v>107</v>
      </c>
      <c r="B14" s="3" t="s">
        <v>108</v>
      </c>
      <c r="C14" s="28">
        <v>100000.0</v>
      </c>
      <c r="D14" s="28">
        <v>2010.0</v>
      </c>
      <c r="E14" s="3" t="s">
        <v>105</v>
      </c>
      <c r="F14" s="3" t="s">
        <v>109</v>
      </c>
    </row>
    <row r="15" ht="22.5" customHeight="1">
      <c r="A15" s="3" t="s">
        <v>110</v>
      </c>
      <c r="B15" s="3" t="s">
        <v>111</v>
      </c>
      <c r="C15" s="28">
        <v>1.29975E8</v>
      </c>
      <c r="D15" s="28">
        <v>2010.0</v>
      </c>
      <c r="E15" s="3" t="s">
        <v>112</v>
      </c>
      <c r="F15" s="3" t="s">
        <v>113</v>
      </c>
    </row>
    <row r="16" ht="22.5" customHeight="1">
      <c r="A16" s="3" t="s">
        <v>114</v>
      </c>
      <c r="B16" s="3" t="s">
        <v>115</v>
      </c>
      <c r="C16" s="28">
        <v>1000.0</v>
      </c>
      <c r="D16" s="28">
        <v>2010.0</v>
      </c>
      <c r="E16" s="3" t="s">
        <v>116</v>
      </c>
      <c r="F16" s="3" t="s">
        <v>117</v>
      </c>
    </row>
    <row r="17" ht="22.5" customHeight="1">
      <c r="A17" s="3" t="s">
        <v>114</v>
      </c>
      <c r="B17" s="3" t="s">
        <v>118</v>
      </c>
      <c r="C17" s="28">
        <v>50000.0</v>
      </c>
      <c r="D17" s="28">
        <v>2010.0</v>
      </c>
      <c r="E17" s="3" t="s">
        <v>119</v>
      </c>
      <c r="F17" s="3" t="s">
        <v>120</v>
      </c>
    </row>
    <row r="18" ht="22.5" customHeight="1">
      <c r="A18" s="3" t="s">
        <v>114</v>
      </c>
      <c r="B18" s="3" t="s">
        <v>121</v>
      </c>
      <c r="C18" s="28">
        <v>50000.0</v>
      </c>
      <c r="D18" s="28">
        <v>2010.0</v>
      </c>
      <c r="E18" s="3" t="s">
        <v>119</v>
      </c>
      <c r="F18" s="3" t="s">
        <v>120</v>
      </c>
    </row>
    <row r="19" ht="22.5" customHeight="1">
      <c r="A19" s="3" t="s">
        <v>114</v>
      </c>
      <c r="B19" s="3" t="s">
        <v>122</v>
      </c>
      <c r="C19" s="28">
        <v>5000.0</v>
      </c>
      <c r="D19" s="28">
        <v>2010.0</v>
      </c>
      <c r="E19" s="3" t="s">
        <v>119</v>
      </c>
      <c r="F19" s="3" t="s">
        <v>123</v>
      </c>
    </row>
    <row r="20" ht="22.5" customHeight="1">
      <c r="A20" s="3" t="s">
        <v>114</v>
      </c>
      <c r="B20" s="3" t="s">
        <v>124</v>
      </c>
      <c r="C20" s="28">
        <v>10000.0</v>
      </c>
      <c r="D20" s="28">
        <v>2010.0</v>
      </c>
      <c r="E20" s="3" t="s">
        <v>125</v>
      </c>
      <c r="F20" s="3" t="s">
        <v>126</v>
      </c>
    </row>
    <row r="21" ht="22.5" customHeight="1">
      <c r="A21" s="3" t="s">
        <v>114</v>
      </c>
      <c r="B21" s="3" t="s">
        <v>127</v>
      </c>
      <c r="C21" s="28">
        <v>5000.0</v>
      </c>
      <c r="D21" s="28">
        <v>2010.0</v>
      </c>
      <c r="E21" s="3" t="s">
        <v>125</v>
      </c>
      <c r="F21" s="3" t="s">
        <v>128</v>
      </c>
    </row>
    <row r="22" ht="22.5" customHeight="1">
      <c r="A22" s="3" t="s">
        <v>110</v>
      </c>
      <c r="B22" s="3" t="s">
        <v>129</v>
      </c>
      <c r="C22" s="28">
        <v>123000.0</v>
      </c>
      <c r="D22" s="28">
        <v>2010.0</v>
      </c>
      <c r="E22" s="3" t="s">
        <v>130</v>
      </c>
      <c r="F22" s="3" t="s">
        <v>131</v>
      </c>
    </row>
    <row r="23" ht="22.5" customHeight="1">
      <c r="A23" s="3" t="s">
        <v>132</v>
      </c>
      <c r="B23" s="3" t="s">
        <v>133</v>
      </c>
      <c r="C23" s="28">
        <v>20000.0</v>
      </c>
      <c r="D23" s="28">
        <v>2010.0</v>
      </c>
      <c r="E23" s="3" t="s">
        <v>134</v>
      </c>
      <c r="F23" s="3" t="s">
        <v>135</v>
      </c>
    </row>
    <row r="24" ht="22.5" customHeight="1">
      <c r="A24" s="3" t="s">
        <v>132</v>
      </c>
      <c r="B24" s="3" t="s">
        <v>136</v>
      </c>
      <c r="C24" s="28">
        <v>30000.0</v>
      </c>
      <c r="D24" s="28">
        <v>2010.0</v>
      </c>
      <c r="E24" s="3" t="s">
        <v>137</v>
      </c>
      <c r="F24" s="3" t="s">
        <v>138</v>
      </c>
    </row>
    <row r="25" ht="22.5" customHeight="1">
      <c r="A25" s="3" t="s">
        <v>132</v>
      </c>
      <c r="B25" s="3" t="s">
        <v>139</v>
      </c>
      <c r="C25" s="28">
        <v>50000.0</v>
      </c>
      <c r="D25" s="28">
        <v>2010.0</v>
      </c>
      <c r="E25" s="3" t="s">
        <v>137</v>
      </c>
      <c r="F25" s="3" t="s">
        <v>140</v>
      </c>
    </row>
    <row r="26" ht="22.5" customHeight="1">
      <c r="A26" s="3" t="s">
        <v>110</v>
      </c>
      <c r="B26" s="3" t="s">
        <v>141</v>
      </c>
      <c r="C26" s="28">
        <v>100000.0</v>
      </c>
      <c r="D26" s="28">
        <v>2010.0</v>
      </c>
      <c r="E26" s="3" t="s">
        <v>142</v>
      </c>
      <c r="F26" s="3" t="s">
        <v>143</v>
      </c>
    </row>
    <row r="27" ht="22.5" customHeight="1">
      <c r="A27" s="3" t="s">
        <v>144</v>
      </c>
      <c r="B27" s="3" t="s">
        <v>145</v>
      </c>
      <c r="C27" s="28">
        <v>1.30198E8</v>
      </c>
      <c r="D27" s="28">
        <v>2010.0</v>
      </c>
      <c r="E27" s="3" t="s">
        <v>146</v>
      </c>
      <c r="F27" s="3" t="s">
        <v>147</v>
      </c>
    </row>
    <row r="29">
      <c r="D29" s="29" t="s">
        <v>148</v>
      </c>
      <c r="E29" s="30"/>
    </row>
    <row r="32" ht="22.5" customHeight="1">
      <c r="A32" s="31" t="s">
        <v>71</v>
      </c>
      <c r="B32" s="31" t="s">
        <v>149</v>
      </c>
      <c r="C32" s="31" t="s">
        <v>150</v>
      </c>
      <c r="D32" s="31" t="s">
        <v>74</v>
      </c>
      <c r="E32" s="31" t="s">
        <v>151</v>
      </c>
    </row>
    <row r="33" ht="22.5" customHeight="1">
      <c r="A33" s="3" t="s">
        <v>152</v>
      </c>
      <c r="B33" s="3" t="s">
        <v>153</v>
      </c>
      <c r="C33" s="6">
        <v>4.0E7</v>
      </c>
      <c r="D33" s="3">
        <v>2010.0</v>
      </c>
      <c r="E33" s="3" t="s">
        <v>154</v>
      </c>
    </row>
    <row r="34" ht="22.5" customHeight="1">
      <c r="A34" s="3" t="s">
        <v>152</v>
      </c>
      <c r="B34" s="3" t="s">
        <v>155</v>
      </c>
      <c r="C34" s="6">
        <v>2.0E7</v>
      </c>
      <c r="D34" s="3">
        <v>2010.0</v>
      </c>
      <c r="E34" s="3" t="s">
        <v>154</v>
      </c>
    </row>
    <row r="35" ht="22.5" customHeight="1">
      <c r="A35" s="3" t="s">
        <v>152</v>
      </c>
      <c r="B35" s="3" t="s">
        <v>156</v>
      </c>
      <c r="C35" s="6">
        <v>2000000.0</v>
      </c>
      <c r="D35" s="3">
        <v>2010.0</v>
      </c>
      <c r="E35" s="3" t="s">
        <v>154</v>
      </c>
    </row>
    <row r="36" ht="22.5" customHeight="1">
      <c r="A36" s="3" t="s">
        <v>157</v>
      </c>
      <c r="B36" s="3" t="s">
        <v>158</v>
      </c>
      <c r="C36" s="6">
        <v>2000000.0</v>
      </c>
      <c r="D36" s="3">
        <v>2010.0</v>
      </c>
      <c r="E36" s="3" t="s">
        <v>154</v>
      </c>
    </row>
    <row r="37" ht="22.5" customHeight="1">
      <c r="A37" s="3" t="s">
        <v>159</v>
      </c>
      <c r="B37" s="3" t="s">
        <v>160</v>
      </c>
      <c r="C37" s="6">
        <v>5.5E7</v>
      </c>
      <c r="D37" s="3">
        <v>2010.0</v>
      </c>
      <c r="E37" s="3" t="s">
        <v>154</v>
      </c>
    </row>
    <row r="38" ht="22.5" customHeight="1">
      <c r="A38" s="3" t="s">
        <v>159</v>
      </c>
      <c r="B38" s="3" t="s">
        <v>161</v>
      </c>
      <c r="C38" s="6">
        <v>30000.0</v>
      </c>
      <c r="D38" s="3">
        <v>2010.0</v>
      </c>
      <c r="E38" s="3" t="s">
        <v>154</v>
      </c>
    </row>
    <row r="39" ht="22.5" customHeight="1">
      <c r="A39" s="3" t="s">
        <v>162</v>
      </c>
      <c r="C39" s="6">
        <v>1.29975E8</v>
      </c>
      <c r="D39" s="3">
        <v>2010.0</v>
      </c>
      <c r="E39" s="3" t="s">
        <v>154</v>
      </c>
    </row>
    <row r="40" ht="22.5" customHeight="1">
      <c r="A40" s="3" t="s">
        <v>163</v>
      </c>
      <c r="B40" s="3" t="s">
        <v>164</v>
      </c>
      <c r="C40" s="6">
        <v>123000.0</v>
      </c>
      <c r="D40" s="3">
        <v>2010.0</v>
      </c>
      <c r="E40" s="3" t="s">
        <v>154</v>
      </c>
    </row>
    <row r="41" ht="22.5" customHeight="1">
      <c r="A41" s="3" t="s">
        <v>141</v>
      </c>
      <c r="B41" s="3" t="s">
        <v>165</v>
      </c>
      <c r="C41" s="6">
        <v>100000.0</v>
      </c>
      <c r="D41" s="3">
        <v>2010.0</v>
      </c>
      <c r="E41" s="3" t="s">
        <v>154</v>
      </c>
    </row>
  </sheetData>
  <mergeCells count="1">
    <mergeCell ref="D29:E29"/>
  </mergeCells>
  <dataValidations>
    <dataValidation type="custom" allowBlank="1" showDropDown="1" sqref="C2:D27 C33:C41">
      <formula1>AND(ISNUMBER(C2),(NOT(OR(NOT(ISERROR(DATEVALUE(C2))), AND(ISNUMBER(C2), LEFT(CELL("format", C2))="D")))))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  <tableParts count="2"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2" width="12.88"/>
    <col customWidth="1" min="5" max="5" width="17.5"/>
    <col customWidth="1" min="6" max="6" width="23.13"/>
  </cols>
  <sheetData>
    <row r="1" ht="22.5" customHeight="1">
      <c r="A1" s="27" t="s">
        <v>166</v>
      </c>
      <c r="B1" s="27" t="s">
        <v>167</v>
      </c>
      <c r="C1" s="27" t="s">
        <v>168</v>
      </c>
      <c r="D1" s="27" t="s">
        <v>74</v>
      </c>
      <c r="E1" s="27" t="s">
        <v>75</v>
      </c>
      <c r="F1" s="27" t="s">
        <v>76</v>
      </c>
    </row>
    <row r="2" ht="22.5" customHeight="1">
      <c r="A2" s="3" t="s">
        <v>169</v>
      </c>
      <c r="B2" s="28">
        <v>1800.0</v>
      </c>
      <c r="C2" s="3" t="s">
        <v>170</v>
      </c>
      <c r="D2" s="28">
        <v>2010.0</v>
      </c>
      <c r="E2" s="3" t="s">
        <v>171</v>
      </c>
      <c r="F2" s="3" t="s">
        <v>172</v>
      </c>
    </row>
    <row r="3" ht="22.5" customHeight="1">
      <c r="A3" s="3" t="s">
        <v>173</v>
      </c>
      <c r="B3" s="28">
        <v>600.0</v>
      </c>
      <c r="C3" s="3" t="s">
        <v>170</v>
      </c>
      <c r="D3" s="28">
        <v>2010.0</v>
      </c>
      <c r="E3" s="3" t="s">
        <v>171</v>
      </c>
      <c r="F3" s="3" t="s">
        <v>174</v>
      </c>
    </row>
    <row r="4" ht="22.5" customHeight="1">
      <c r="A4" s="3" t="s">
        <v>175</v>
      </c>
      <c r="B4" s="28">
        <v>900.0</v>
      </c>
      <c r="C4" s="3" t="s">
        <v>170</v>
      </c>
      <c r="D4" s="28">
        <v>2010.0</v>
      </c>
      <c r="E4" s="3" t="s">
        <v>171</v>
      </c>
      <c r="F4" s="3" t="s">
        <v>176</v>
      </c>
    </row>
    <row r="5" ht="22.5" customHeight="1">
      <c r="A5" s="3" t="s">
        <v>177</v>
      </c>
      <c r="B5" s="28">
        <v>250000.0</v>
      </c>
      <c r="C5" s="3" t="s">
        <v>178</v>
      </c>
      <c r="D5" s="28">
        <v>2010.0</v>
      </c>
      <c r="E5" s="3" t="s">
        <v>171</v>
      </c>
      <c r="F5" s="3" t="s">
        <v>179</v>
      </c>
    </row>
    <row r="6" ht="22.5" customHeight="1">
      <c r="A6" s="3" t="s">
        <v>180</v>
      </c>
      <c r="B6" s="28">
        <v>500000.0</v>
      </c>
      <c r="C6" s="3" t="s">
        <v>178</v>
      </c>
      <c r="D6" s="28">
        <v>2010.0</v>
      </c>
      <c r="E6" s="3" t="s">
        <v>171</v>
      </c>
      <c r="F6" s="3" t="s">
        <v>179</v>
      </c>
    </row>
    <row r="7" ht="22.5" customHeight="1">
      <c r="A7" s="3" t="s">
        <v>181</v>
      </c>
      <c r="B7" s="28">
        <v>35.0</v>
      </c>
      <c r="C7" s="3" t="s">
        <v>182</v>
      </c>
      <c r="D7" s="28">
        <v>2010.0</v>
      </c>
      <c r="E7" s="3" t="s">
        <v>183</v>
      </c>
      <c r="F7" s="3" t="s">
        <v>184</v>
      </c>
    </row>
    <row r="8" ht="22.5" customHeight="1">
      <c r="A8" s="10" t="s">
        <v>185</v>
      </c>
      <c r="B8" s="32">
        <v>13.0</v>
      </c>
      <c r="C8" s="10" t="s">
        <v>186</v>
      </c>
      <c r="D8" s="32">
        <v>2010.0</v>
      </c>
      <c r="E8" s="10" t="s">
        <v>171</v>
      </c>
      <c r="F8" s="10" t="s">
        <v>187</v>
      </c>
    </row>
    <row r="9" ht="22.5" customHeight="1">
      <c r="A9" s="10" t="s">
        <v>188</v>
      </c>
      <c r="B9" s="32">
        <v>5.0</v>
      </c>
      <c r="C9" s="10" t="s">
        <v>186</v>
      </c>
      <c r="D9" s="32">
        <v>2010.0</v>
      </c>
      <c r="E9" s="10" t="s">
        <v>171</v>
      </c>
      <c r="F9" s="10" t="s">
        <v>187</v>
      </c>
    </row>
    <row r="10" ht="22.5" customHeight="1">
      <c r="A10" s="10" t="s">
        <v>189</v>
      </c>
      <c r="B10" s="32">
        <v>219000.0</v>
      </c>
      <c r="C10" s="10" t="s">
        <v>178</v>
      </c>
      <c r="D10" s="32">
        <v>2010.0</v>
      </c>
      <c r="E10" s="10" t="s">
        <v>190</v>
      </c>
      <c r="F10" s="10" t="s">
        <v>191</v>
      </c>
    </row>
    <row r="11" ht="22.5" customHeight="1">
      <c r="A11" s="10" t="s">
        <v>192</v>
      </c>
      <c r="B11" s="32">
        <v>4.0</v>
      </c>
      <c r="C11" s="10" t="s">
        <v>193</v>
      </c>
      <c r="D11" s="32">
        <v>2010.0</v>
      </c>
      <c r="E11" s="10" t="s">
        <v>79</v>
      </c>
      <c r="F11" s="10" t="s">
        <v>194</v>
      </c>
    </row>
  </sheetData>
  <dataValidations>
    <dataValidation type="custom" allowBlank="1" showDropDown="1" sqref="B2:B11 D2:D1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/>
      <c r="B1" s="17"/>
      <c r="C1" s="17"/>
      <c r="D1" s="17"/>
      <c r="E1" s="17"/>
      <c r="F1" s="17"/>
      <c r="G1" s="17"/>
    </row>
    <row r="2">
      <c r="A2" s="17"/>
      <c r="B2" s="17"/>
      <c r="C2" s="17"/>
      <c r="D2" s="17"/>
      <c r="E2" s="17"/>
      <c r="F2" s="17"/>
      <c r="G2" s="17"/>
    </row>
    <row r="3" ht="22.5" customHeight="1">
      <c r="A3" s="27" t="s">
        <v>195</v>
      </c>
      <c r="B3" s="27" t="s">
        <v>196</v>
      </c>
      <c r="C3" s="27" t="s">
        <v>197</v>
      </c>
      <c r="D3" s="27" t="s">
        <v>198</v>
      </c>
      <c r="E3" s="27" t="s">
        <v>199</v>
      </c>
      <c r="F3" s="27" t="s">
        <v>200</v>
      </c>
      <c r="G3" s="27" t="s">
        <v>201</v>
      </c>
    </row>
    <row r="4" ht="22.5" customHeight="1">
      <c r="A4" s="10" t="s">
        <v>202</v>
      </c>
      <c r="B4" s="10" t="s">
        <v>203</v>
      </c>
      <c r="C4" s="10">
        <v>8500.0</v>
      </c>
      <c r="D4" s="10">
        <v>0.0</v>
      </c>
      <c r="E4" s="10">
        <v>75.0</v>
      </c>
      <c r="F4" s="10">
        <v>350.0</v>
      </c>
      <c r="G4" s="10">
        <v>2.5</v>
      </c>
    </row>
    <row r="5" ht="22.5" customHeight="1">
      <c r="A5" s="3" t="s">
        <v>204</v>
      </c>
      <c r="B5" s="3" t="s">
        <v>205</v>
      </c>
      <c r="C5" s="3">
        <v>1200.0</v>
      </c>
      <c r="D5" s="3">
        <v>2000.0</v>
      </c>
      <c r="E5" s="3">
        <v>85.0</v>
      </c>
      <c r="F5" s="3">
        <v>13.0</v>
      </c>
      <c r="G5" s="3">
        <v>0.8</v>
      </c>
    </row>
    <row r="6" ht="22.5" customHeight="1">
      <c r="A6" s="3" t="s">
        <v>206</v>
      </c>
      <c r="B6" s="3" t="s">
        <v>207</v>
      </c>
      <c r="C6" s="3">
        <v>2800.0</v>
      </c>
      <c r="D6" s="3">
        <v>1800.0</v>
      </c>
      <c r="E6" s="3">
        <v>70.0</v>
      </c>
      <c r="F6" s="3">
        <v>250.0</v>
      </c>
      <c r="G6" s="3">
        <v>3.0</v>
      </c>
    </row>
    <row r="7" ht="22.5" customHeight="1">
      <c r="A7" s="3" t="s">
        <v>208</v>
      </c>
      <c r="B7" s="3" t="s">
        <v>209</v>
      </c>
      <c r="C7" s="3">
        <v>600.0</v>
      </c>
      <c r="D7" s="3">
        <v>1500.0</v>
      </c>
      <c r="E7" s="3">
        <v>80.0</v>
      </c>
      <c r="F7" s="3">
        <v>180.0</v>
      </c>
      <c r="G7" s="3">
        <v>1.5</v>
      </c>
    </row>
    <row r="8" ht="22.5" customHeight="1">
      <c r="A8" s="3" t="s">
        <v>210</v>
      </c>
      <c r="B8" s="3" t="s">
        <v>211</v>
      </c>
      <c r="C8" s="3">
        <v>300.0</v>
      </c>
      <c r="D8" s="3">
        <v>2200.0</v>
      </c>
      <c r="E8" s="3">
        <v>65.0</v>
      </c>
      <c r="F8" s="3">
        <v>400.0</v>
      </c>
      <c r="G8" s="3">
        <v>4.0</v>
      </c>
    </row>
    <row r="9">
      <c r="A9" s="17"/>
      <c r="B9" s="17"/>
      <c r="C9" s="17"/>
      <c r="D9" s="17"/>
      <c r="E9" s="17"/>
      <c r="F9" s="17"/>
    </row>
    <row r="10" ht="22.5" customHeight="1">
      <c r="A10" s="27" t="s">
        <v>166</v>
      </c>
      <c r="B10" s="27" t="s">
        <v>212</v>
      </c>
      <c r="C10" s="27" t="s">
        <v>167</v>
      </c>
      <c r="D10" s="27" t="s">
        <v>168</v>
      </c>
      <c r="E10" s="27" t="s">
        <v>151</v>
      </c>
      <c r="F10" s="27" t="s">
        <v>76</v>
      </c>
    </row>
    <row r="11" ht="22.5" customHeight="1">
      <c r="A11" s="3" t="s">
        <v>213</v>
      </c>
      <c r="B11" s="3" t="s">
        <v>214</v>
      </c>
      <c r="C11" s="3">
        <v>500000.0</v>
      </c>
      <c r="D11" s="3" t="s">
        <v>178</v>
      </c>
      <c r="E11" s="3" t="s">
        <v>215</v>
      </c>
      <c r="F11" s="3" t="s">
        <v>216</v>
      </c>
    </row>
    <row r="12" ht="22.5" customHeight="1">
      <c r="A12" s="3" t="s">
        <v>217</v>
      </c>
      <c r="B12" s="3" t="s">
        <v>218</v>
      </c>
      <c r="C12" s="3">
        <v>0.2</v>
      </c>
      <c r="D12" s="3" t="s">
        <v>219</v>
      </c>
      <c r="E12" s="3" t="s">
        <v>220</v>
      </c>
      <c r="F12" s="3" t="s">
        <v>221</v>
      </c>
    </row>
    <row r="13" ht="22.5" customHeight="1">
      <c r="A13" s="3" t="s">
        <v>222</v>
      </c>
      <c r="B13" s="3" t="s">
        <v>223</v>
      </c>
      <c r="C13" s="3">
        <v>10.0</v>
      </c>
      <c r="D13" s="3" t="s">
        <v>224</v>
      </c>
      <c r="E13" s="3" t="s">
        <v>225</v>
      </c>
      <c r="F13" s="3" t="s">
        <v>226</v>
      </c>
    </row>
    <row r="14" ht="22.5" customHeight="1">
      <c r="A14" s="3" t="s">
        <v>227</v>
      </c>
      <c r="B14" s="3" t="s">
        <v>228</v>
      </c>
      <c r="C14" s="3">
        <v>750.0</v>
      </c>
      <c r="D14" s="3" t="s">
        <v>229</v>
      </c>
      <c r="E14" s="3" t="s">
        <v>230</v>
      </c>
      <c r="F14" s="3" t="s">
        <v>231</v>
      </c>
    </row>
    <row r="15" ht="22.5" customHeight="1">
      <c r="A15" s="3" t="s">
        <v>192</v>
      </c>
      <c r="B15" s="3" t="s">
        <v>232</v>
      </c>
      <c r="C15" s="3">
        <v>2.0</v>
      </c>
      <c r="D15" s="3" t="s">
        <v>233</v>
      </c>
      <c r="E15" s="3" t="s">
        <v>234</v>
      </c>
      <c r="F15" s="3" t="s">
        <v>235</v>
      </c>
    </row>
    <row r="16" ht="22.5" customHeight="1">
      <c r="A16" s="3" t="s">
        <v>236</v>
      </c>
      <c r="B16" s="3" t="s">
        <v>237</v>
      </c>
      <c r="C16" s="3">
        <v>6.0</v>
      </c>
      <c r="D16" s="3" t="s">
        <v>238</v>
      </c>
      <c r="E16" s="3" t="s">
        <v>239</v>
      </c>
      <c r="F16" s="3" t="s">
        <v>240</v>
      </c>
    </row>
    <row r="17" ht="22.5" customHeight="1">
      <c r="A17" s="10" t="s">
        <v>241</v>
      </c>
      <c r="B17" s="10" t="s">
        <v>242</v>
      </c>
      <c r="C17" s="10">
        <v>100.0</v>
      </c>
      <c r="D17" s="10" t="s">
        <v>238</v>
      </c>
      <c r="E17" s="10" t="s">
        <v>243</v>
      </c>
      <c r="F17" s="10" t="s">
        <v>244</v>
      </c>
    </row>
    <row r="18" ht="22.5" customHeight="1">
      <c r="A18" s="10" t="s">
        <v>245</v>
      </c>
      <c r="B18" s="10" t="s">
        <v>246</v>
      </c>
      <c r="C18" s="10">
        <v>20.0</v>
      </c>
      <c r="D18" s="10" t="s">
        <v>238</v>
      </c>
      <c r="E18" s="10" t="s">
        <v>247</v>
      </c>
      <c r="F18" s="10" t="s">
        <v>244</v>
      </c>
    </row>
    <row r="19" ht="22.5" customHeight="1">
      <c r="A19" s="10" t="s">
        <v>248</v>
      </c>
      <c r="B19" s="10" t="s">
        <v>249</v>
      </c>
      <c r="C19" s="10">
        <v>10.0</v>
      </c>
      <c r="D19" s="10" t="s">
        <v>238</v>
      </c>
      <c r="E19" s="10" t="s">
        <v>250</v>
      </c>
      <c r="F19" s="10" t="s">
        <v>244</v>
      </c>
    </row>
    <row r="20" ht="22.5" customHeight="1">
      <c r="A20" s="10" t="s">
        <v>251</v>
      </c>
      <c r="B20" s="10" t="s">
        <v>252</v>
      </c>
      <c r="C20" s="10">
        <v>5.0</v>
      </c>
      <c r="D20" s="10" t="s">
        <v>238</v>
      </c>
      <c r="E20" s="10" t="s">
        <v>253</v>
      </c>
      <c r="F20" s="10" t="s">
        <v>244</v>
      </c>
    </row>
  </sheetData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2" max="2" width="26.38"/>
    <col customWidth="1" min="3" max="3" width="15.25"/>
    <col customWidth="1" min="7" max="7" width="17.88"/>
  </cols>
  <sheetData>
    <row r="1" ht="22.5" customHeight="1">
      <c r="A1" s="31" t="s">
        <v>168</v>
      </c>
      <c r="B1" s="31" t="s">
        <v>254</v>
      </c>
      <c r="C1" s="31" t="s">
        <v>255</v>
      </c>
      <c r="D1" s="31" t="s">
        <v>256</v>
      </c>
      <c r="E1" s="31" t="s">
        <v>74</v>
      </c>
      <c r="F1" s="31" t="s">
        <v>151</v>
      </c>
      <c r="G1" s="31" t="s">
        <v>76</v>
      </c>
    </row>
    <row r="2" ht="22.5" customHeight="1">
      <c r="A2" s="3" t="s">
        <v>257</v>
      </c>
      <c r="B2" s="3" t="s">
        <v>258</v>
      </c>
      <c r="C2" s="6">
        <v>310.0</v>
      </c>
      <c r="D2" s="3" t="s">
        <v>259</v>
      </c>
      <c r="E2" s="3">
        <v>1972.0</v>
      </c>
      <c r="F2" s="3" t="s">
        <v>260</v>
      </c>
      <c r="G2" s="3" t="s">
        <v>261</v>
      </c>
    </row>
    <row r="3" ht="22.5" customHeight="1">
      <c r="C3" s="6">
        <v>400.0</v>
      </c>
      <c r="D3" s="3" t="s">
        <v>259</v>
      </c>
      <c r="E3" s="3">
        <v>1972.0</v>
      </c>
      <c r="F3" s="3" t="s">
        <v>260</v>
      </c>
      <c r="G3" s="3" t="s">
        <v>262</v>
      </c>
    </row>
    <row r="4" ht="22.5" customHeight="1">
      <c r="C4" s="6">
        <v>500.0</v>
      </c>
      <c r="D4" s="3" t="s">
        <v>259</v>
      </c>
      <c r="E4" s="3">
        <v>1972.0</v>
      </c>
      <c r="F4" s="3" t="s">
        <v>260</v>
      </c>
      <c r="G4" s="3" t="s">
        <v>263</v>
      </c>
    </row>
    <row r="5" ht="22.5" customHeight="1">
      <c r="A5" s="3" t="s">
        <v>257</v>
      </c>
      <c r="B5" s="3" t="s">
        <v>264</v>
      </c>
      <c r="C5" s="6">
        <v>470000.0</v>
      </c>
      <c r="D5" s="3" t="s">
        <v>265</v>
      </c>
      <c r="E5" s="3" t="s">
        <v>266</v>
      </c>
      <c r="F5" s="3" t="s">
        <v>267</v>
      </c>
      <c r="G5" s="3" t="s">
        <v>268</v>
      </c>
    </row>
    <row r="6" ht="22.5" customHeight="1">
      <c r="A6" s="3" t="s">
        <v>269</v>
      </c>
      <c r="B6" s="3" t="s">
        <v>270</v>
      </c>
      <c r="C6" s="6">
        <v>5400.0</v>
      </c>
      <c r="D6" s="3" t="s">
        <v>271</v>
      </c>
      <c r="E6" s="3" t="s">
        <v>266</v>
      </c>
      <c r="F6" s="3" t="s">
        <v>260</v>
      </c>
      <c r="G6" s="3" t="s">
        <v>272</v>
      </c>
    </row>
    <row r="7" ht="22.5" customHeight="1">
      <c r="A7" s="3" t="s">
        <v>273</v>
      </c>
      <c r="B7" s="3" t="s">
        <v>274</v>
      </c>
      <c r="C7" s="6">
        <v>2200.0</v>
      </c>
      <c r="D7" s="3" t="s">
        <v>271</v>
      </c>
      <c r="E7" s="3" t="s">
        <v>266</v>
      </c>
      <c r="F7" s="3" t="s">
        <v>260</v>
      </c>
      <c r="G7" s="3" t="s">
        <v>275</v>
      </c>
    </row>
    <row r="8" ht="22.5" customHeight="1">
      <c r="A8" s="3" t="s">
        <v>273</v>
      </c>
      <c r="B8" s="3" t="s">
        <v>276</v>
      </c>
      <c r="C8" s="6">
        <v>650000.0</v>
      </c>
      <c r="D8" s="3" t="s">
        <v>265</v>
      </c>
      <c r="E8" s="3" t="s">
        <v>266</v>
      </c>
      <c r="F8" s="3" t="s">
        <v>260</v>
      </c>
    </row>
    <row r="9" ht="22.5" customHeight="1">
      <c r="A9" s="3" t="s">
        <v>277</v>
      </c>
      <c r="B9" s="3" t="s">
        <v>274</v>
      </c>
      <c r="C9" s="6">
        <v>2200.0</v>
      </c>
      <c r="D9" s="3" t="s">
        <v>271</v>
      </c>
      <c r="E9" s="3" t="s">
        <v>266</v>
      </c>
      <c r="F9" s="3" t="s">
        <v>260</v>
      </c>
      <c r="G9" s="3" t="s">
        <v>278</v>
      </c>
    </row>
    <row r="10" ht="22.5" customHeight="1">
      <c r="A10" s="3" t="s">
        <v>277</v>
      </c>
      <c r="B10" s="3" t="s">
        <v>276</v>
      </c>
      <c r="C10" s="6">
        <v>650000.0</v>
      </c>
      <c r="D10" s="3" t="s">
        <v>265</v>
      </c>
      <c r="E10" s="3" t="s">
        <v>266</v>
      </c>
      <c r="F10" s="3" t="s">
        <v>260</v>
      </c>
    </row>
    <row r="11" ht="22.5" customHeight="1">
      <c r="A11" s="3" t="s">
        <v>279</v>
      </c>
      <c r="B11" s="3" t="s">
        <v>280</v>
      </c>
      <c r="C11" s="6">
        <v>330000.0</v>
      </c>
      <c r="D11" s="3" t="s">
        <v>265</v>
      </c>
      <c r="E11" s="3">
        <v>1983.0</v>
      </c>
      <c r="F11" s="3" t="s">
        <v>260</v>
      </c>
      <c r="G11" s="3" t="s">
        <v>281</v>
      </c>
    </row>
    <row r="12" ht="22.5" customHeight="1">
      <c r="A12" s="3" t="s">
        <v>279</v>
      </c>
      <c r="B12" s="3" t="s">
        <v>282</v>
      </c>
      <c r="C12" s="6">
        <v>30000.0</v>
      </c>
      <c r="D12" s="3" t="s">
        <v>265</v>
      </c>
      <c r="E12" s="3">
        <v>1983.0</v>
      </c>
      <c r="F12" s="3" t="s">
        <v>260</v>
      </c>
      <c r="G12" s="3" t="s">
        <v>283</v>
      </c>
    </row>
    <row r="14">
      <c r="B14" s="33" t="s">
        <v>284</v>
      </c>
      <c r="C14" s="34"/>
      <c r="D14" s="30"/>
    </row>
  </sheetData>
  <mergeCells count="1">
    <mergeCell ref="B14:D14"/>
  </mergeCells>
  <dataValidations>
    <dataValidation type="custom" allowBlank="1" showDropDown="1" sqref="C2:C12">
      <formula1>AND(ISNUMBER(C2),(NOT(OR(NOT(ISERROR(DATEVALUE(C2))), AND(ISNUMBER(C2), LEFT(CELL("format", C2))="D")))))</formula1>
    </dataValidation>
  </dataValidations>
  <drawing r:id="rId2"/>
  <legacyDrawing r:id="rId3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13"/>
    <col customWidth="1" min="2" max="2" width="15.25"/>
    <col customWidth="1" min="6" max="6" width="19.25"/>
  </cols>
  <sheetData>
    <row r="1" ht="22.5" customHeight="1">
      <c r="A1" s="31" t="s">
        <v>285</v>
      </c>
      <c r="B1" s="31" t="s">
        <v>255</v>
      </c>
      <c r="C1" s="31" t="s">
        <v>168</v>
      </c>
      <c r="D1" s="31" t="s">
        <v>74</v>
      </c>
      <c r="E1" s="31" t="s">
        <v>151</v>
      </c>
      <c r="F1" s="31" t="s">
        <v>286</v>
      </c>
    </row>
    <row r="2" ht="22.5" customHeight="1">
      <c r="A2" s="3" t="s">
        <v>287</v>
      </c>
      <c r="B2" s="3" t="s">
        <v>288</v>
      </c>
      <c r="C2" s="3" t="s">
        <v>289</v>
      </c>
      <c r="D2" s="3" t="s">
        <v>266</v>
      </c>
      <c r="E2" s="3" t="s">
        <v>290</v>
      </c>
      <c r="F2" s="3" t="s">
        <v>291</v>
      </c>
    </row>
    <row r="3" ht="22.5" customHeight="1">
      <c r="A3" s="3" t="s">
        <v>292</v>
      </c>
      <c r="B3" s="3" t="s">
        <v>293</v>
      </c>
      <c r="C3" s="3" t="s">
        <v>294</v>
      </c>
      <c r="D3" s="3" t="s">
        <v>266</v>
      </c>
      <c r="E3" s="3" t="s">
        <v>290</v>
      </c>
      <c r="F3" s="3" t="s">
        <v>295</v>
      </c>
    </row>
    <row r="4" ht="22.5" customHeight="1">
      <c r="A4" s="3" t="s">
        <v>296</v>
      </c>
      <c r="B4" s="6">
        <v>300.0</v>
      </c>
      <c r="C4" s="3" t="s">
        <v>294</v>
      </c>
      <c r="D4" s="3" t="s">
        <v>266</v>
      </c>
      <c r="E4" s="3" t="s">
        <v>290</v>
      </c>
      <c r="F4" s="3" t="s">
        <v>297</v>
      </c>
    </row>
    <row r="5" ht="22.5" customHeight="1">
      <c r="A5" s="3" t="s">
        <v>298</v>
      </c>
      <c r="B5" s="6">
        <v>25000.0</v>
      </c>
      <c r="C5" s="3" t="s">
        <v>289</v>
      </c>
      <c r="D5" s="3" t="s">
        <v>299</v>
      </c>
      <c r="E5" s="3" t="s">
        <v>300</v>
      </c>
      <c r="F5" s="3" t="s">
        <v>301</v>
      </c>
    </row>
    <row r="6" ht="22.5" customHeight="1">
      <c r="A6" s="3" t="s">
        <v>302</v>
      </c>
      <c r="B6" s="6">
        <v>50000.0</v>
      </c>
      <c r="C6" s="3" t="s">
        <v>289</v>
      </c>
      <c r="D6" s="3" t="s">
        <v>303</v>
      </c>
      <c r="E6" s="3" t="s">
        <v>300</v>
      </c>
      <c r="F6" s="3" t="s">
        <v>304</v>
      </c>
    </row>
    <row r="10" ht="22.5" customHeight="1">
      <c r="A10" s="31" t="s">
        <v>166</v>
      </c>
      <c r="B10" s="31" t="s">
        <v>167</v>
      </c>
      <c r="C10" s="31" t="s">
        <v>168</v>
      </c>
      <c r="D10" s="31" t="s">
        <v>74</v>
      </c>
    </row>
    <row r="11" ht="22.5" customHeight="1">
      <c r="A11" s="3" t="s">
        <v>305</v>
      </c>
      <c r="B11" s="35">
        <v>4.0</v>
      </c>
      <c r="C11" s="3" t="s">
        <v>306</v>
      </c>
      <c r="D11" s="3">
        <v>2010.0</v>
      </c>
      <c r="F11" s="36" t="s">
        <v>307</v>
      </c>
    </row>
  </sheetData>
  <dataValidations>
    <dataValidation type="custom" allowBlank="1" showDropDown="1" sqref="B2:B6">
      <formula1>AND(ISNUMBER(B2),(NOT(OR(NOT(ISERROR(DATEVALUE(B2))), AND(ISNUMBER(B2), LEFT(CELL("format", B2))="D")))))</formula1>
    </dataValidation>
  </dataValidations>
  <drawing r:id="rId2"/>
  <legacyDrawing r:id="rId3"/>
  <tableParts count="2"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17.38"/>
    <col customWidth="1" min="3" max="3" width="14.5"/>
    <col customWidth="1" min="4" max="4" width="16.88"/>
    <col customWidth="1" min="5" max="5" width="12.75"/>
    <col customWidth="1" min="6" max="6" width="16.5"/>
    <col customWidth="1" min="7" max="7" width="14.38"/>
    <col customWidth="1" min="9" max="9" width="16.88"/>
    <col customWidth="1" min="11" max="11" width="31.38"/>
  </cols>
  <sheetData>
    <row r="1" ht="22.5" customHeight="1">
      <c r="A1" s="31" t="s">
        <v>11</v>
      </c>
      <c r="B1" s="31" t="s">
        <v>308</v>
      </c>
      <c r="C1" s="31" t="s">
        <v>309</v>
      </c>
      <c r="D1" s="31" t="s">
        <v>310</v>
      </c>
      <c r="E1" s="31" t="s">
        <v>311</v>
      </c>
      <c r="F1" s="31" t="s">
        <v>312</v>
      </c>
      <c r="G1" s="31" t="s">
        <v>313</v>
      </c>
      <c r="H1" s="31" t="s">
        <v>314</v>
      </c>
      <c r="I1" s="37" t="s">
        <v>151</v>
      </c>
      <c r="J1" s="37" t="s">
        <v>74</v>
      </c>
      <c r="K1" s="37" t="s">
        <v>76</v>
      </c>
    </row>
    <row r="2" ht="22.5" customHeight="1">
      <c r="A2" s="3" t="s">
        <v>202</v>
      </c>
      <c r="B2" s="38" t="s">
        <v>203</v>
      </c>
      <c r="C2" s="39">
        <v>8500.0</v>
      </c>
      <c r="D2" s="40">
        <v>0.0</v>
      </c>
      <c r="F2" s="41">
        <v>350.0</v>
      </c>
      <c r="G2" s="3">
        <v>2.5</v>
      </c>
      <c r="H2" s="3">
        <v>2.0</v>
      </c>
      <c r="I2" s="38" t="s">
        <v>315</v>
      </c>
      <c r="J2" s="38" t="s">
        <v>316</v>
      </c>
      <c r="K2" s="38" t="s">
        <v>317</v>
      </c>
    </row>
    <row r="3" ht="22.5" customHeight="1">
      <c r="A3" s="3" t="s">
        <v>204</v>
      </c>
      <c r="B3" s="38" t="s">
        <v>318</v>
      </c>
      <c r="C3" s="39">
        <v>1200.0</v>
      </c>
      <c r="D3" s="40">
        <v>450.0</v>
      </c>
      <c r="F3" s="41">
        <v>13.0</v>
      </c>
      <c r="G3" s="3">
        <v>0.8</v>
      </c>
      <c r="H3" s="3">
        <v>7.0</v>
      </c>
      <c r="I3" s="38" t="s">
        <v>319</v>
      </c>
      <c r="J3" s="38">
        <v>2010.0</v>
      </c>
      <c r="K3" s="38" t="s">
        <v>320</v>
      </c>
    </row>
    <row r="4" ht="22.5" customHeight="1">
      <c r="A4" s="3" t="s">
        <v>206</v>
      </c>
      <c r="B4" s="38" t="s">
        <v>207</v>
      </c>
      <c r="C4" s="39">
        <v>2800.0</v>
      </c>
      <c r="D4" s="40">
        <v>380.0</v>
      </c>
      <c r="F4" s="41">
        <v>250.0</v>
      </c>
      <c r="G4" s="3">
        <v>3.0</v>
      </c>
      <c r="H4" s="3">
        <v>6.0</v>
      </c>
      <c r="I4" s="38" t="s">
        <v>321</v>
      </c>
      <c r="J4" s="38" t="s">
        <v>322</v>
      </c>
      <c r="K4" s="38" t="s">
        <v>323</v>
      </c>
    </row>
    <row r="5" ht="22.5" customHeight="1">
      <c r="A5" s="3" t="s">
        <v>208</v>
      </c>
      <c r="B5" s="38" t="s">
        <v>52</v>
      </c>
      <c r="C5" s="41">
        <v>600.0</v>
      </c>
      <c r="D5" s="40">
        <v>320.0</v>
      </c>
      <c r="F5" s="41">
        <v>180.0</v>
      </c>
      <c r="G5" s="3">
        <v>1.5</v>
      </c>
      <c r="H5" s="3">
        <v>8.0</v>
      </c>
      <c r="I5" s="38" t="s">
        <v>324</v>
      </c>
      <c r="J5" s="38" t="s">
        <v>325</v>
      </c>
      <c r="K5" s="38" t="s">
        <v>326</v>
      </c>
    </row>
    <row r="6" ht="22.5" customHeight="1">
      <c r="A6" s="3" t="s">
        <v>210</v>
      </c>
      <c r="B6" s="38" t="s">
        <v>327</v>
      </c>
      <c r="C6" s="41">
        <v>300.0</v>
      </c>
      <c r="D6" s="40">
        <v>420.0</v>
      </c>
      <c r="F6" s="41">
        <v>400.0</v>
      </c>
      <c r="G6" s="3">
        <v>4.0</v>
      </c>
      <c r="H6" s="3">
        <v>9.0</v>
      </c>
      <c r="I6" s="38" t="s">
        <v>328</v>
      </c>
      <c r="J6" s="38">
        <v>2019.0</v>
      </c>
      <c r="K6" s="38" t="s">
        <v>329</v>
      </c>
    </row>
    <row r="8">
      <c r="G8" s="42" t="s">
        <v>330</v>
      </c>
      <c r="H8" s="43"/>
      <c r="I8" s="44"/>
    </row>
    <row r="9">
      <c r="G9" s="45"/>
      <c r="H9" s="46"/>
      <c r="I9" s="47"/>
    </row>
    <row r="12" ht="22.5" customHeight="1">
      <c r="A12" s="48" t="s">
        <v>331</v>
      </c>
      <c r="B12" s="48" t="s">
        <v>166</v>
      </c>
      <c r="C12" s="48" t="s">
        <v>167</v>
      </c>
      <c r="D12" s="48" t="s">
        <v>168</v>
      </c>
      <c r="E12" s="48" t="s">
        <v>151</v>
      </c>
      <c r="F12" s="48" t="s">
        <v>74</v>
      </c>
      <c r="G12" s="48" t="s">
        <v>76</v>
      </c>
    </row>
    <row r="13" ht="22.5" customHeight="1">
      <c r="A13" s="38" t="s">
        <v>332</v>
      </c>
      <c r="B13" s="38" t="s">
        <v>333</v>
      </c>
      <c r="C13" s="38">
        <v>470000.0</v>
      </c>
      <c r="D13" s="38" t="s">
        <v>334</v>
      </c>
      <c r="E13" s="38" t="s">
        <v>260</v>
      </c>
      <c r="F13" s="38" t="s">
        <v>335</v>
      </c>
      <c r="G13" s="49" t="s">
        <v>336</v>
      </c>
    </row>
    <row r="14" ht="22.5" customHeight="1">
      <c r="A14" s="38" t="s">
        <v>332</v>
      </c>
      <c r="B14" s="38" t="s">
        <v>192</v>
      </c>
      <c r="C14" s="38">
        <v>4.0</v>
      </c>
      <c r="D14" s="38" t="s">
        <v>193</v>
      </c>
      <c r="E14" s="38" t="s">
        <v>319</v>
      </c>
      <c r="F14" s="38">
        <v>2010.0</v>
      </c>
      <c r="G14" s="49" t="s">
        <v>235</v>
      </c>
    </row>
    <row r="15" ht="22.5" customHeight="1">
      <c r="A15" s="38" t="s">
        <v>337</v>
      </c>
      <c r="B15" s="38" t="s">
        <v>338</v>
      </c>
      <c r="C15" s="38">
        <v>25000.0</v>
      </c>
      <c r="D15" s="38" t="s">
        <v>339</v>
      </c>
      <c r="E15" s="38" t="s">
        <v>340</v>
      </c>
      <c r="F15" s="38">
        <v>2018.0</v>
      </c>
      <c r="G15" s="49" t="s">
        <v>341</v>
      </c>
    </row>
    <row r="18" ht="22.5" customHeight="1">
      <c r="A18" s="48" t="s">
        <v>71</v>
      </c>
      <c r="B18" s="48" t="s">
        <v>342</v>
      </c>
      <c r="C18" s="48" t="s">
        <v>73</v>
      </c>
      <c r="D18" s="48" t="s">
        <v>343</v>
      </c>
      <c r="E18" s="48" t="s">
        <v>151</v>
      </c>
      <c r="F18" s="48" t="s">
        <v>74</v>
      </c>
      <c r="G18" s="48" t="s">
        <v>76</v>
      </c>
    </row>
    <row r="19" ht="22.5" customHeight="1">
      <c r="A19" s="38" t="s">
        <v>344</v>
      </c>
      <c r="B19" s="38" t="s">
        <v>345</v>
      </c>
      <c r="C19" s="50">
        <v>4.0E7</v>
      </c>
      <c r="D19" s="38" t="s">
        <v>346</v>
      </c>
      <c r="E19" s="38" t="s">
        <v>79</v>
      </c>
      <c r="F19" s="38">
        <v>2010.0</v>
      </c>
      <c r="G19" s="38" t="s">
        <v>347</v>
      </c>
    </row>
    <row r="20" ht="22.5" customHeight="1">
      <c r="A20" s="38" t="s">
        <v>348</v>
      </c>
      <c r="B20" s="38" t="s">
        <v>349</v>
      </c>
      <c r="C20" s="38"/>
      <c r="D20" s="38" t="s">
        <v>346</v>
      </c>
      <c r="E20" s="38" t="s">
        <v>350</v>
      </c>
      <c r="F20" s="38">
        <v>2018.0</v>
      </c>
      <c r="G20" s="38" t="s">
        <v>351</v>
      </c>
    </row>
    <row r="21" ht="22.5" customHeight="1">
      <c r="A21" s="38" t="s">
        <v>159</v>
      </c>
      <c r="B21" s="38" t="s">
        <v>352</v>
      </c>
      <c r="C21" s="50">
        <v>5.5E7</v>
      </c>
      <c r="D21" s="38" t="s">
        <v>346</v>
      </c>
      <c r="E21" s="38" t="s">
        <v>79</v>
      </c>
      <c r="F21" s="38">
        <v>2010.0</v>
      </c>
      <c r="G21" s="38" t="s">
        <v>353</v>
      </c>
    </row>
    <row r="22" ht="22.5" customHeight="1">
      <c r="A22" s="38" t="s">
        <v>354</v>
      </c>
      <c r="B22" s="38" t="s">
        <v>355</v>
      </c>
      <c r="C22" s="50">
        <v>123000.0</v>
      </c>
      <c r="D22" s="38" t="s">
        <v>356</v>
      </c>
      <c r="E22" s="38" t="s">
        <v>119</v>
      </c>
      <c r="F22" s="38">
        <v>2010.0</v>
      </c>
      <c r="G22" s="38" t="s">
        <v>357</v>
      </c>
    </row>
    <row r="25" ht="22.5" customHeight="1">
      <c r="A25" s="48" t="s">
        <v>358</v>
      </c>
      <c r="B25" s="48" t="s">
        <v>212</v>
      </c>
      <c r="C25" s="48" t="s">
        <v>359</v>
      </c>
      <c r="D25" s="48" t="s">
        <v>360</v>
      </c>
      <c r="E25" s="48" t="s">
        <v>361</v>
      </c>
      <c r="F25" s="48" t="s">
        <v>151</v>
      </c>
    </row>
    <row r="26" ht="22.5" customHeight="1">
      <c r="A26" s="38" t="s">
        <v>362</v>
      </c>
      <c r="B26" s="38" t="s">
        <v>363</v>
      </c>
      <c r="C26" s="38" t="s">
        <v>364</v>
      </c>
      <c r="D26" s="38" t="s">
        <v>365</v>
      </c>
      <c r="E26" s="50" t="s">
        <v>366</v>
      </c>
      <c r="F26" s="49" t="s">
        <v>367</v>
      </c>
    </row>
    <row r="27" ht="22.5" customHeight="1">
      <c r="A27" s="38" t="s">
        <v>368</v>
      </c>
      <c r="B27" s="38" t="s">
        <v>369</v>
      </c>
      <c r="C27" s="38" t="s">
        <v>370</v>
      </c>
      <c r="D27" s="38" t="s">
        <v>371</v>
      </c>
      <c r="E27" s="50" t="s">
        <v>372</v>
      </c>
      <c r="F27" s="49" t="s">
        <v>373</v>
      </c>
    </row>
    <row r="28" ht="22.5" customHeight="1">
      <c r="A28" s="38" t="s">
        <v>374</v>
      </c>
      <c r="B28" s="38" t="s">
        <v>375</v>
      </c>
      <c r="C28" s="38" t="s">
        <v>376</v>
      </c>
      <c r="D28" s="38" t="s">
        <v>377</v>
      </c>
      <c r="E28" s="50" t="s">
        <v>372</v>
      </c>
      <c r="F28" s="49" t="s">
        <v>378</v>
      </c>
    </row>
    <row r="29" ht="22.5" customHeight="1">
      <c r="A29" s="38" t="s">
        <v>379</v>
      </c>
      <c r="B29" s="38" t="s">
        <v>380</v>
      </c>
      <c r="C29" s="38" t="s">
        <v>381</v>
      </c>
      <c r="D29" s="38" t="s">
        <v>382</v>
      </c>
      <c r="E29" s="50" t="s">
        <v>383</v>
      </c>
      <c r="F29" s="49" t="s">
        <v>384</v>
      </c>
    </row>
    <row r="30" ht="22.5" customHeight="1">
      <c r="A30" s="38" t="s">
        <v>385</v>
      </c>
      <c r="B30" s="38" t="s">
        <v>386</v>
      </c>
      <c r="C30" s="38" t="s">
        <v>387</v>
      </c>
      <c r="D30" s="38" t="s">
        <v>388</v>
      </c>
      <c r="E30" s="50" t="s">
        <v>383</v>
      </c>
      <c r="F30" s="49" t="s">
        <v>389</v>
      </c>
    </row>
  </sheetData>
  <mergeCells count="1">
    <mergeCell ref="G8:I9"/>
  </mergeCells>
  <dataValidations>
    <dataValidation type="custom" allowBlank="1" showDropDown="1" sqref="D2:D6">
      <formula1>AND(ISNUMBER(D2),(NOT(OR(NOT(ISERROR(DATEVALUE(D2))), AND(ISNUMBER(D2), LEFT(CELL("format", D2))="D")))))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  <tableParts count="4">
    <tablePart r:id="rId8"/>
    <tablePart r:id="rId9"/>
    <tablePart r:id="rId10"/>
    <tablePart r:id="rId1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13"/>
    <col customWidth="1" min="2" max="2" width="24.5"/>
    <col customWidth="1" min="3" max="3" width="26.88"/>
    <col customWidth="1" min="5" max="5" width="32.88"/>
    <col customWidth="1" min="6" max="6" width="23.5"/>
    <col customWidth="1" min="9" max="9" width="25.38"/>
  </cols>
  <sheetData>
    <row r="1" ht="22.5" customHeight="1">
      <c r="A1" s="27" t="s">
        <v>74</v>
      </c>
      <c r="B1" s="27" t="s">
        <v>390</v>
      </c>
      <c r="C1" s="27" t="s">
        <v>391</v>
      </c>
      <c r="D1" s="27" t="s">
        <v>392</v>
      </c>
      <c r="E1" s="27" t="s">
        <v>151</v>
      </c>
      <c r="G1" s="51"/>
      <c r="H1" s="51"/>
      <c r="I1" s="51"/>
      <c r="J1" s="51"/>
    </row>
    <row r="2" ht="22.5" customHeight="1">
      <c r="A2" s="3">
        <v>2010.0</v>
      </c>
      <c r="B2" s="3">
        <v>100.0</v>
      </c>
      <c r="C2" s="52">
        <v>0.0</v>
      </c>
      <c r="D2" s="3">
        <v>1.0</v>
      </c>
      <c r="E2" s="3" t="s">
        <v>393</v>
      </c>
      <c r="G2" s="51"/>
      <c r="H2" s="51"/>
      <c r="I2" s="51"/>
      <c r="J2" s="51"/>
    </row>
    <row r="3" ht="22.5" customHeight="1">
      <c r="A3" s="3">
        <v>2015.0</v>
      </c>
      <c r="B3" s="3">
        <v>123.4</v>
      </c>
      <c r="C3" s="52">
        <v>0.234</v>
      </c>
      <c r="D3" s="3">
        <v>1.234</v>
      </c>
      <c r="E3" s="3" t="s">
        <v>394</v>
      </c>
      <c r="G3" s="51"/>
      <c r="H3" s="51"/>
      <c r="I3" s="51"/>
      <c r="J3" s="51"/>
    </row>
    <row r="4" ht="22.5" customHeight="1">
      <c r="A4" s="3">
        <v>2020.0</v>
      </c>
      <c r="B4" s="3">
        <v>157.8</v>
      </c>
      <c r="C4" s="52">
        <v>0.578</v>
      </c>
      <c r="D4" s="3">
        <v>1.578</v>
      </c>
      <c r="E4" s="3" t="s">
        <v>395</v>
      </c>
      <c r="G4" s="51"/>
      <c r="H4" s="51"/>
      <c r="I4" s="51"/>
      <c r="J4" s="51"/>
    </row>
    <row r="5" ht="22.5" customHeight="1">
      <c r="A5" s="3">
        <v>2024.0</v>
      </c>
      <c r="B5" s="3">
        <v>185.0</v>
      </c>
      <c r="C5" s="52">
        <v>0.85</v>
      </c>
      <c r="D5" s="3">
        <v>1.85</v>
      </c>
      <c r="E5" s="3" t="s">
        <v>396</v>
      </c>
      <c r="G5" s="51"/>
      <c r="H5" s="51"/>
      <c r="I5" s="51"/>
      <c r="J5" s="51"/>
    </row>
    <row r="6">
      <c r="A6" s="17"/>
      <c r="B6" s="17"/>
      <c r="C6" s="17"/>
      <c r="D6" s="17"/>
      <c r="E6" s="17"/>
    </row>
    <row r="7">
      <c r="A7" s="17"/>
      <c r="B7" s="17"/>
      <c r="C7" s="17"/>
      <c r="D7" s="17"/>
      <c r="E7" s="17"/>
    </row>
    <row r="8">
      <c r="A8" s="17"/>
      <c r="B8" s="17"/>
      <c r="C8" s="17"/>
      <c r="D8" s="17"/>
      <c r="E8" s="17"/>
    </row>
    <row r="9" ht="22.5" customHeight="1">
      <c r="A9" s="27" t="s">
        <v>397</v>
      </c>
      <c r="B9" s="27" t="s">
        <v>398</v>
      </c>
      <c r="C9" s="27" t="s">
        <v>399</v>
      </c>
      <c r="D9" s="27" t="s">
        <v>400</v>
      </c>
      <c r="E9" s="27" t="s">
        <v>76</v>
      </c>
    </row>
    <row r="10" ht="22.5" customHeight="1">
      <c r="A10" s="3" t="s">
        <v>401</v>
      </c>
      <c r="B10" s="3">
        <v>1.29975E8</v>
      </c>
      <c r="C10" s="3">
        <v>2.40454E8</v>
      </c>
      <c r="D10" s="3" t="s">
        <v>402</v>
      </c>
      <c r="E10" s="3" t="s">
        <v>403</v>
      </c>
    </row>
    <row r="11" ht="22.5" customHeight="1">
      <c r="A11" s="3" t="s">
        <v>404</v>
      </c>
      <c r="B11" s="3">
        <v>123000.0</v>
      </c>
      <c r="C11" s="3">
        <v>228000.0</v>
      </c>
      <c r="D11" s="3" t="s">
        <v>405</v>
      </c>
      <c r="E11" s="3" t="s">
        <v>406</v>
      </c>
    </row>
    <row r="12" ht="22.5" customHeight="1">
      <c r="A12" s="3" t="s">
        <v>407</v>
      </c>
      <c r="B12" s="3">
        <v>100000.0</v>
      </c>
      <c r="C12" s="3">
        <v>185000.0</v>
      </c>
      <c r="D12" s="3" t="s">
        <v>408</v>
      </c>
      <c r="E12" s="3" t="s">
        <v>409</v>
      </c>
    </row>
    <row r="13" ht="22.5" customHeight="1">
      <c r="A13" s="3" t="s">
        <v>410</v>
      </c>
      <c r="B13" s="3">
        <v>1.30198E8</v>
      </c>
      <c r="C13" s="3">
        <v>2.40867E8</v>
      </c>
      <c r="D13" s="3" t="s">
        <v>411</v>
      </c>
      <c r="E13" s="3" t="s">
        <v>412</v>
      </c>
    </row>
    <row r="14">
      <c r="A14" s="17"/>
      <c r="B14" s="17"/>
      <c r="C14" s="17"/>
      <c r="D14" s="17"/>
      <c r="E14" s="17"/>
      <c r="F14" s="17"/>
      <c r="G14" s="17"/>
      <c r="H14" s="17"/>
      <c r="I14" s="17"/>
    </row>
    <row r="15">
      <c r="H15" s="17"/>
      <c r="I15" s="17"/>
    </row>
    <row r="16">
      <c r="H16" s="17"/>
      <c r="I16" s="17"/>
    </row>
    <row r="17">
      <c r="A17" s="51"/>
      <c r="B17" s="51"/>
      <c r="C17" s="51"/>
      <c r="D17" s="51"/>
      <c r="E17" s="51"/>
      <c r="F17" s="51"/>
      <c r="G17" s="51"/>
      <c r="H17" s="51"/>
      <c r="I17" s="51"/>
    </row>
    <row r="18">
      <c r="A18" s="51"/>
      <c r="B18" s="51"/>
      <c r="C18" s="51"/>
      <c r="D18" s="51"/>
      <c r="E18" s="51"/>
      <c r="F18" s="51"/>
      <c r="G18" s="51"/>
      <c r="H18" s="51"/>
      <c r="I18" s="51"/>
    </row>
    <row r="19">
      <c r="A19" s="51"/>
      <c r="B19" s="51"/>
      <c r="C19" s="51"/>
      <c r="D19" s="51"/>
      <c r="E19" s="51"/>
      <c r="F19" s="51"/>
      <c r="G19" s="51"/>
      <c r="H19" s="51"/>
      <c r="I19" s="51"/>
    </row>
    <row r="20">
      <c r="A20" s="51"/>
      <c r="B20" s="51"/>
      <c r="C20" s="51"/>
      <c r="D20" s="51"/>
      <c r="E20" s="51"/>
      <c r="F20" s="51"/>
      <c r="G20" s="51"/>
      <c r="H20" s="51"/>
      <c r="I20" s="51"/>
    </row>
    <row r="21">
      <c r="A21" s="51"/>
      <c r="B21" s="51"/>
      <c r="C21" s="51"/>
      <c r="D21" s="51"/>
      <c r="E21" s="51"/>
      <c r="F21" s="51"/>
      <c r="G21" s="51"/>
      <c r="H21" s="51"/>
      <c r="I21" s="51"/>
    </row>
    <row r="22">
      <c r="A22" s="51"/>
      <c r="B22" s="51"/>
      <c r="C22" s="51"/>
      <c r="D22" s="51"/>
      <c r="E22" s="51"/>
      <c r="F22" s="51"/>
      <c r="G22" s="51"/>
      <c r="H22" s="51"/>
      <c r="I22" s="51"/>
    </row>
  </sheetData>
  <dataValidations>
    <dataValidation type="custom" allowBlank="1" showDropDown="1" sqref="C2:C5">
      <formula1>AND(ISNUMBER(C2),(NOT(OR(NOT(ISERROR(DATEVALUE(C2))), AND(ISNUMBER(C2), LEFT(CELL("format", C2))="D")))))</formula1>
    </dataValidation>
  </dataValidations>
  <drawing r:id="rId1"/>
  <tableParts count="2">
    <tablePart r:id="rId4"/>
    <tablePart r:id="rId5"/>
  </tableParts>
</worksheet>
</file>